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8_{D1B59B89-AD4F-4118-8201-99EFFC485C2D}" xr6:coauthVersionLast="41" xr6:coauthVersionMax="41" xr10:uidLastSave="{00000000-0000-0000-0000-000000000000}"/>
  <bookViews>
    <workbookView xWindow="-120" yWindow="-120" windowWidth="29040" windowHeight="15840" tabRatio="781" activeTab="1" xr2:uid="{00000000-000D-0000-FFFF-FFFF00000000}"/>
  </bookViews>
  <sheets>
    <sheet name="Заказ" sheetId="5" r:id="rId1"/>
    <sheet name="Товары" sheetId="1" r:id="rId2"/>
    <sheet name="Склад" sheetId="3" r:id="rId3"/>
    <sheet name="Контрагент" sheetId="4" r:id="rId4"/>
    <sheet name="Курс_уе" sheetId="2" r:id="rId5"/>
    <sheet name="Прайс_внутренний" sheetId="6" r:id="rId6"/>
    <sheet name="Промежуточные_итоги" sheetId="7" r:id="rId7"/>
    <sheet name="Прайс_клиентский" sheetId="8" r:id="rId8"/>
  </sheets>
  <definedNames>
    <definedName name="ed_izm">Товары!$L$6:$L$11</definedName>
    <definedName name="naim_tov">Товары!$A$6:'Товары'!$A$6:$B$29</definedName>
    <definedName name="rr">Товары!$I$2</definedName>
    <definedName name="zz">Заказ!$A$5:$F$9</definedName>
    <definedName name="код">Склад!$B$7:$B$53</definedName>
    <definedName name="кол_во">Склад!$E$7:$E$53</definedName>
    <definedName name="курс">Курс_уе!$D$4</definedName>
    <definedName name="Курс_уе">Курс_уе!$C$4:$D$36</definedName>
    <definedName name="операция">Склад!$D$7:$D$53</definedName>
    <definedName name="товар">Товары!$A$6:$J$31</definedName>
    <definedName name="товар11">#REF!</definedName>
  </definedNames>
  <calcPr calcId="191029"/>
</workbook>
</file>

<file path=xl/calcChain.xml><?xml version="1.0" encoding="utf-8"?>
<calcChain xmlns="http://schemas.openxmlformats.org/spreadsheetml/2006/main">
  <c r="C7" i="3" l="1"/>
  <c r="F7" i="3"/>
  <c r="C8" i="3"/>
  <c r="F8" i="3"/>
  <c r="C9" i="3"/>
  <c r="F9" i="3"/>
  <c r="C10" i="3"/>
  <c r="F10" i="3"/>
  <c r="C11" i="3"/>
  <c r="F11" i="3"/>
  <c r="C12" i="3"/>
  <c r="F12" i="3"/>
  <c r="C13" i="3"/>
  <c r="F13" i="3"/>
  <c r="C14" i="3"/>
  <c r="F14" i="3"/>
  <c r="C15" i="3"/>
  <c r="F15" i="3"/>
  <c r="C16" i="3"/>
  <c r="F16" i="3"/>
  <c r="C17" i="3"/>
  <c r="F17" i="3"/>
  <c r="C18" i="3"/>
  <c r="F18" i="3"/>
  <c r="C19" i="3"/>
  <c r="F19" i="3"/>
  <c r="C20" i="3"/>
  <c r="F20" i="3"/>
  <c r="C21" i="3"/>
  <c r="F21" i="3"/>
  <c r="C22" i="3"/>
  <c r="F22" i="3"/>
  <c r="C23" i="3"/>
  <c r="F23" i="3"/>
  <c r="C24" i="3"/>
  <c r="F24" i="3"/>
  <c r="C25" i="3"/>
  <c r="F25" i="3"/>
  <c r="C26" i="3"/>
  <c r="F26" i="3"/>
  <c r="C27" i="3"/>
  <c r="F27" i="3"/>
  <c r="C28" i="3"/>
  <c r="F28" i="3"/>
  <c r="C29" i="3"/>
  <c r="F29" i="3"/>
  <c r="C30" i="3"/>
  <c r="F30" i="3"/>
  <c r="C31" i="3"/>
  <c r="F31" i="3"/>
  <c r="C32" i="3"/>
  <c r="F32" i="3"/>
  <c r="C33" i="3"/>
  <c r="F33" i="3"/>
  <c r="C34" i="3"/>
  <c r="F34" i="3"/>
  <c r="C35" i="3"/>
  <c r="F35" i="3"/>
  <c r="C36" i="3"/>
  <c r="F36" i="3"/>
  <c r="C37" i="3"/>
  <c r="F37" i="3"/>
  <c r="C38" i="3"/>
  <c r="F38" i="3"/>
  <c r="C39" i="3"/>
  <c r="F39" i="3"/>
  <c r="C40" i="3"/>
  <c r="F40" i="3"/>
  <c r="C41" i="3"/>
  <c r="F41" i="3"/>
  <c r="C42" i="3"/>
  <c r="F42" i="3"/>
  <c r="C43" i="3"/>
  <c r="F43" i="3"/>
  <c r="C44" i="3"/>
  <c r="F44" i="3"/>
  <c r="C45" i="3"/>
  <c r="F45" i="3"/>
  <c r="C46" i="3"/>
  <c r="F46" i="3"/>
  <c r="C47" i="3"/>
  <c r="F47" i="3"/>
  <c r="C48" i="3"/>
  <c r="F48" i="3"/>
  <c r="C49" i="3"/>
  <c r="F49" i="3"/>
  <c r="C50" i="3"/>
  <c r="F50" i="3"/>
  <c r="C51" i="3"/>
  <c r="F51" i="3"/>
  <c r="C52" i="3"/>
  <c r="F52" i="3"/>
  <c r="C53" i="3"/>
  <c r="F53" i="3"/>
  <c r="F7" i="1" l="1"/>
  <c r="G7" i="1" s="1"/>
  <c r="F6" i="1"/>
  <c r="G6" i="1" s="1"/>
  <c r="F8" i="1"/>
  <c r="G8" i="1" s="1"/>
  <c r="F9" i="1"/>
  <c r="G9" i="1" s="1"/>
  <c r="F10" i="1"/>
  <c r="G10" i="1" s="1"/>
  <c r="F26" i="1"/>
  <c r="G26" i="1" s="1"/>
  <c r="F27" i="1"/>
  <c r="G27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8" i="1"/>
  <c r="G28" i="1" s="1"/>
  <c r="F11" i="1"/>
  <c r="G11" i="1" s="1"/>
</calcChain>
</file>

<file path=xl/sharedStrings.xml><?xml version="1.0" encoding="utf-8"?>
<sst xmlns="http://schemas.openxmlformats.org/spreadsheetml/2006/main" count="503" uniqueCount="163">
  <si>
    <t>Код товара</t>
  </si>
  <si>
    <t>Наименование товара</t>
  </si>
  <si>
    <t>Единицы измерения</t>
  </si>
  <si>
    <t>ЦЕНА</t>
  </si>
  <si>
    <t>учётная,у.е.</t>
  </si>
  <si>
    <t>учётная,руб.</t>
  </si>
  <si>
    <t>учётная</t>
  </si>
  <si>
    <t>оптовая</t>
  </si>
  <si>
    <t>Производитель</t>
  </si>
  <si>
    <t>Страна производитель</t>
  </si>
  <si>
    <t>бифидо кефир</t>
  </si>
  <si>
    <t>кефир фруктовый</t>
  </si>
  <si>
    <t xml:space="preserve">йогурт\малина </t>
  </si>
  <si>
    <t xml:space="preserve">йогурт\клубника </t>
  </si>
  <si>
    <t>йогурт\смородина</t>
  </si>
  <si>
    <t>йогурт\яблоко</t>
  </si>
  <si>
    <t>сметана 0.3</t>
  </si>
  <si>
    <t>сметана 1.5</t>
  </si>
  <si>
    <t>сметана 2.7</t>
  </si>
  <si>
    <t>творог</t>
  </si>
  <si>
    <t>творожная масса</t>
  </si>
  <si>
    <t>сыр российский</t>
  </si>
  <si>
    <t>сыр голландский</t>
  </si>
  <si>
    <t>сыр колбасный</t>
  </si>
  <si>
    <t>сырок плавленный</t>
  </si>
  <si>
    <t>сырок\курага</t>
  </si>
  <si>
    <t>сырок\изюм</t>
  </si>
  <si>
    <t>сырок\кокос</t>
  </si>
  <si>
    <t>молоко</t>
  </si>
  <si>
    <t>ряженка</t>
  </si>
  <si>
    <t>снежок</t>
  </si>
  <si>
    <t>варенец</t>
  </si>
  <si>
    <t>сливки 2.0</t>
  </si>
  <si>
    <t>бут.</t>
  </si>
  <si>
    <t>пакет</t>
  </si>
  <si>
    <t>кг.</t>
  </si>
  <si>
    <t>шт.</t>
  </si>
  <si>
    <t>банка</t>
  </si>
  <si>
    <t>Дата</t>
  </si>
  <si>
    <t>Курс 1</t>
  </si>
  <si>
    <t>Веселый молочник</t>
  </si>
  <si>
    <t>Зукко</t>
  </si>
  <si>
    <t>Зорька</t>
  </si>
  <si>
    <t>Дружба</t>
  </si>
  <si>
    <t>Джерри</t>
  </si>
  <si>
    <t>Витязь</t>
  </si>
  <si>
    <t>Чемпион</t>
  </si>
  <si>
    <t>Россия</t>
  </si>
  <si>
    <t>США</t>
  </si>
  <si>
    <t>Украина</t>
  </si>
  <si>
    <t>Голландия</t>
  </si>
  <si>
    <t>Белоруссия</t>
  </si>
  <si>
    <t>Вид операции</t>
  </si>
  <si>
    <t>Количество</t>
  </si>
  <si>
    <t>Контрагент</t>
  </si>
  <si>
    <t>Цена</t>
  </si>
  <si>
    <t>Стоимость</t>
  </si>
  <si>
    <t>приход</t>
  </si>
  <si>
    <t>расход</t>
  </si>
  <si>
    <t>Адрес</t>
  </si>
  <si>
    <t>Телефон</t>
  </si>
  <si>
    <t>ИНН</t>
  </si>
  <si>
    <t>Директор</t>
  </si>
  <si>
    <t>Солнце</t>
  </si>
  <si>
    <t>ул.Фрунзе,53</t>
  </si>
  <si>
    <t>22-24-25</t>
  </si>
  <si>
    <t>Иванов А.А.</t>
  </si>
  <si>
    <t>Яблоко</t>
  </si>
  <si>
    <t>ул.Зорге,22</t>
  </si>
  <si>
    <t>24-41-15</t>
  </si>
  <si>
    <t>Сидоров С.Б.</t>
  </si>
  <si>
    <t>Молоко</t>
  </si>
  <si>
    <t>ул.Учительская,14</t>
  </si>
  <si>
    <t>56-67-87</t>
  </si>
  <si>
    <t>Гурин И.Т.</t>
  </si>
  <si>
    <t>Федорова Т.П.</t>
  </si>
  <si>
    <t>Леонтьев Ю.К.</t>
  </si>
  <si>
    <t>22-34-56</t>
  </si>
  <si>
    <t>76-56-67</t>
  </si>
  <si>
    <t>67-24-46</t>
  </si>
  <si>
    <t>12-34-56</t>
  </si>
  <si>
    <t>15-67-89</t>
  </si>
  <si>
    <t>12-34-68</t>
  </si>
  <si>
    <t>46-78-89</t>
  </si>
  <si>
    <t>23-56-93</t>
  </si>
  <si>
    <t>28-79-50</t>
  </si>
  <si>
    <t>90-56-67</t>
  </si>
  <si>
    <t>80-56-46</t>
  </si>
  <si>
    <t>60-59-50</t>
  </si>
  <si>
    <t>10-49-59</t>
  </si>
  <si>
    <t>50-30-20</t>
  </si>
  <si>
    <t>30-40-50</t>
  </si>
  <si>
    <t>29-50-60</t>
  </si>
  <si>
    <t>20-97-40</t>
  </si>
  <si>
    <t>Сорес</t>
  </si>
  <si>
    <t>Тупор</t>
  </si>
  <si>
    <t>Логос</t>
  </si>
  <si>
    <t>Элко</t>
  </si>
  <si>
    <t>Светоч</t>
  </si>
  <si>
    <t>Глобус</t>
  </si>
  <si>
    <t>Плюс</t>
  </si>
  <si>
    <t>Сальдо</t>
  </si>
  <si>
    <t>Малыш</t>
  </si>
  <si>
    <t>Сота</t>
  </si>
  <si>
    <t>Нота</t>
  </si>
  <si>
    <t>Радуга</t>
  </si>
  <si>
    <t>Луч</t>
  </si>
  <si>
    <t>Свет</t>
  </si>
  <si>
    <t>ЛюБиМо</t>
  </si>
  <si>
    <t>Витамин</t>
  </si>
  <si>
    <t>ул.Спартак,45</t>
  </si>
  <si>
    <t>ул.Мичурина,45</t>
  </si>
  <si>
    <t>ул.Плановая,12</t>
  </si>
  <si>
    <t>ул.Доватора,67</t>
  </si>
  <si>
    <t>ул.Горская,56</t>
  </si>
  <si>
    <t>ул.Пирогова,12</t>
  </si>
  <si>
    <t>ул.Российская,56</t>
  </si>
  <si>
    <t>ул.Труда,23</t>
  </si>
  <si>
    <t>ул.Арбузова,56</t>
  </si>
  <si>
    <t>ул.Советская,37</t>
  </si>
  <si>
    <t>ул.Восход,35</t>
  </si>
  <si>
    <t>ул.Никитина,67</t>
  </si>
  <si>
    <t>ул.Сибирская,12</t>
  </si>
  <si>
    <t>ул.Светлая,56</t>
  </si>
  <si>
    <t>ул.Шлюзовая,89</t>
  </si>
  <si>
    <t>ул.Ленина,89</t>
  </si>
  <si>
    <t>ул.Русская,11</t>
  </si>
  <si>
    <t>Апрель</t>
  </si>
  <si>
    <t>Отметка о выполнении заказов</t>
  </si>
  <si>
    <t>Количество принятого заказа</t>
  </si>
  <si>
    <t>СКЛАД</t>
  </si>
  <si>
    <t>ТОВАРЫ</t>
  </si>
  <si>
    <t>КОНТРАГЕНТЫ</t>
  </si>
  <si>
    <t xml:space="preserve">                 Лист заказов на </t>
  </si>
  <si>
    <t>ВиммБильДан</t>
  </si>
  <si>
    <t>Курс</t>
  </si>
  <si>
    <t>кг</t>
  </si>
  <si>
    <t>Самарина В.И.</t>
  </si>
  <si>
    <t>Добрицов Т.О.</t>
  </si>
  <si>
    <t>Стрельник Т.Л.</t>
  </si>
  <si>
    <t>Бардов П.Р.</t>
  </si>
  <si>
    <t>Клюквина О.Г.</t>
  </si>
  <si>
    <t>Покрова О.В.</t>
  </si>
  <si>
    <t>Мосин О.А.</t>
  </si>
  <si>
    <t>Шустов П.А.</t>
  </si>
  <si>
    <t>Потапов В.А.</t>
  </si>
  <si>
    <t>Малышев М.Т.</t>
  </si>
  <si>
    <t>Генин А.М.</t>
  </si>
  <si>
    <t>Гуров В.А.</t>
  </si>
  <si>
    <t>Курдюмов А.Г.</t>
  </si>
  <si>
    <t>Грекова В.Г.</t>
  </si>
  <si>
    <t>Сатин А.Р.</t>
  </si>
  <si>
    <t>Цена оптовая</t>
  </si>
  <si>
    <t>Наличие на складе</t>
  </si>
  <si>
    <t>ООО СТАТУС</t>
  </si>
  <si>
    <t>г. Новосибирск, ул. Плахотного 14 оф. 31</t>
  </si>
  <si>
    <t>03.04.2019</t>
  </si>
  <si>
    <t xml:space="preserve">Прайс актуален на </t>
  </si>
  <si>
    <t>Время работы:</t>
  </si>
  <si>
    <t>Пн-Пт - 9:00 до 18:00</t>
  </si>
  <si>
    <t>Сб - 10:00- 16:00</t>
  </si>
  <si>
    <t>Вс - выходной</t>
  </si>
  <si>
    <t>Тел. 233-22-33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</si>
</sst>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&quot;р.&quot;"/>
    <numFmt numFmtId="165" formatCode="dd/mm/yy;@"/>
    <numFmt numFmtId="166" formatCode="0.000"/>
  </numFmts>
  <fonts count="11" x14ac:knownFonts="1">
    <font>
      <sz val="10"/>
      <name val="Arial Cyr"/>
      <charset val="204"/>
    </font>
    <font>
      <b/>
      <sz val="10"/>
      <name val="Arial Cyr"/>
      <family val="2"/>
      <charset val="204"/>
    </font>
    <font>
      <b/>
      <sz val="12"/>
      <name val="Arial Cyr"/>
      <family val="2"/>
      <charset val="204"/>
    </font>
    <font>
      <b/>
      <sz val="20"/>
      <name val="Arial Cyr"/>
      <family val="2"/>
      <charset val="204"/>
    </font>
    <font>
      <b/>
      <sz val="12"/>
      <color indexed="12"/>
      <name val="Arial Cyr"/>
      <family val="2"/>
      <charset val="204"/>
    </font>
    <font>
      <b/>
      <sz val="20"/>
      <color indexed="50"/>
      <name val="Arial Cyr"/>
      <charset val="204"/>
    </font>
    <font>
      <b/>
      <sz val="18"/>
      <color indexed="50"/>
      <name val="Arial Cyr"/>
      <family val="2"/>
      <charset val="204"/>
    </font>
    <font>
      <b/>
      <sz val="10"/>
      <name val="Arial Cyr"/>
      <charset val="204"/>
    </font>
    <font>
      <sz val="10"/>
      <color rgb="FF000000"/>
      <name val="Arial Cyr"/>
    </font>
    <font>
      <b/>
      <sz val="18"/>
      <color rgb="FFFF0000"/>
      <name val="Arial Cyr"/>
      <charset val="204"/>
    </font>
    <font>
      <b/>
      <sz val="12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/>
    <xf numFmtId="4" fontId="0" fillId="0" borderId="0" xfId="0" applyNumberFormat="1"/>
    <xf numFmtId="0" fontId="0" fillId="0" borderId="0" xfId="0" applyProtection="1">
      <protection locked="0"/>
    </xf>
    <xf numFmtId="165" fontId="0" fillId="0" borderId="0" xfId="0" applyNumberFormat="1"/>
    <xf numFmtId="166" fontId="0" fillId="0" borderId="0" xfId="0" applyNumberFormat="1"/>
    <xf numFmtId="166" fontId="0" fillId="0" borderId="2" xfId="0" applyNumberFormat="1" applyBorder="1"/>
    <xf numFmtId="166" fontId="0" fillId="0" borderId="6" xfId="0" applyNumberFormat="1" applyBorder="1"/>
    <xf numFmtId="165" fontId="4" fillId="0" borderId="0" xfId="0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3" fillId="0" borderId="0" xfId="0" applyFont="1"/>
    <xf numFmtId="14" fontId="0" fillId="0" borderId="8" xfId="0" applyNumberFormat="1" applyBorder="1"/>
    <xf numFmtId="14" fontId="0" fillId="0" borderId="3" xfId="0" applyNumberFormat="1" applyBorder="1"/>
    <xf numFmtId="1" fontId="0" fillId="0" borderId="1" xfId="0" applyNumberFormat="1" applyBorder="1"/>
    <xf numFmtId="1" fontId="0" fillId="0" borderId="4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1" fontId="0" fillId="0" borderId="8" xfId="0" applyNumberFormat="1" applyBorder="1"/>
    <xf numFmtId="2" fontId="0" fillId="0" borderId="1" xfId="0" applyNumberFormat="1" applyBorder="1"/>
    <xf numFmtId="1" fontId="0" fillId="0" borderId="1" xfId="0" applyNumberFormat="1" applyBorder="1" applyProtection="1">
      <protection locked="0"/>
    </xf>
    <xf numFmtId="49" fontId="0" fillId="0" borderId="1" xfId="0" applyNumberFormat="1" applyBorder="1" applyProtection="1">
      <protection locked="0"/>
    </xf>
    <xf numFmtId="49" fontId="0" fillId="0" borderId="8" xfId="0" applyNumberFormat="1" applyBorder="1"/>
    <xf numFmtId="49" fontId="0" fillId="0" borderId="3" xfId="0" applyNumberFormat="1" applyBorder="1"/>
    <xf numFmtId="49" fontId="0" fillId="0" borderId="2" xfId="0" applyNumberFormat="1" applyBorder="1"/>
    <xf numFmtId="49" fontId="0" fillId="0" borderId="6" xfId="0" applyNumberFormat="1" applyBorder="1"/>
    <xf numFmtId="0" fontId="1" fillId="2" borderId="0" xfId="0" applyFont="1" applyFill="1" applyAlignment="1">
      <alignment horizontal="center" vertical="top" wrapText="1"/>
    </xf>
    <xf numFmtId="0" fontId="1" fillId="2" borderId="0" xfId="0" applyFont="1" applyFill="1" applyAlignment="1">
      <alignment horizontal="center"/>
    </xf>
    <xf numFmtId="0" fontId="7" fillId="0" borderId="0" xfId="0" applyFont="1"/>
    <xf numFmtId="0" fontId="0" fillId="0" borderId="1" xfId="0" applyBorder="1" applyProtection="1">
      <protection locked="0"/>
    </xf>
    <xf numFmtId="1" fontId="0" fillId="0" borderId="0" xfId="0" applyNumberFormat="1"/>
    <xf numFmtId="0" fontId="1" fillId="0" borderId="0" xfId="0" applyFont="1" applyAlignment="1">
      <alignment horizontal="center" vertical="top" wrapText="1"/>
    </xf>
    <xf numFmtId="0" fontId="5" fillId="0" borderId="0" xfId="0" applyFont="1"/>
    <xf numFmtId="2" fontId="0" fillId="0" borderId="2" xfId="0" applyNumberFormat="1" applyBorder="1"/>
    <xf numFmtId="2" fontId="0" fillId="0" borderId="6" xfId="0" applyNumberFormat="1" applyBorder="1"/>
    <xf numFmtId="0" fontId="0" fillId="0" borderId="0" xfId="0" applyAlignment="1">
      <alignment wrapText="1"/>
    </xf>
    <xf numFmtId="49" fontId="0" fillId="0" borderId="0" xfId="0" applyNumberFormat="1"/>
    <xf numFmtId="2" fontId="0" fillId="0" borderId="0" xfId="0" applyNumberFormat="1"/>
    <xf numFmtId="0" fontId="1" fillId="3" borderId="5" xfId="0" applyFont="1" applyFill="1" applyBorder="1" applyAlignment="1">
      <alignment horizontal="center" vertical="top"/>
    </xf>
    <xf numFmtId="0" fontId="1" fillId="3" borderId="1" xfId="0" applyFont="1" applyFill="1" applyBorder="1"/>
    <xf numFmtId="164" fontId="1" fillId="3" borderId="1" xfId="0" applyNumberFormat="1" applyFont="1" applyFill="1" applyBorder="1"/>
    <xf numFmtId="0" fontId="1" fillId="3" borderId="5" xfId="0" applyFont="1" applyFill="1" applyBorder="1" applyAlignment="1">
      <alignment horizontal="center" vertical="top" wrapText="1"/>
    </xf>
    <xf numFmtId="0" fontId="4" fillId="0" borderId="0" xfId="0" applyFont="1" applyAlignment="1" applyProtection="1">
      <alignment horizontal="center"/>
      <protection locked="0"/>
    </xf>
    <xf numFmtId="0" fontId="1" fillId="3" borderId="5" xfId="0" applyFont="1" applyFill="1" applyBorder="1" applyAlignment="1">
      <alignment horizontal="center" vertical="top"/>
    </xf>
    <xf numFmtId="0" fontId="1" fillId="3" borderId="8" xfId="0" applyFont="1" applyFill="1" applyBorder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1" fillId="3" borderId="7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0</xdr:row>
          <xdr:rowOff>285750</xdr:rowOff>
        </xdr:from>
        <xdr:to>
          <xdr:col>12</xdr:col>
          <xdr:colOff>200025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276225</xdr:rowOff>
        </xdr:from>
        <xdr:to>
          <xdr:col>14</xdr:col>
          <xdr:colOff>600075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Редактировать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323850</xdr:colOff>
          <xdr:row>1</xdr:row>
          <xdr:rowOff>19050</xdr:rowOff>
        </xdr:from>
        <xdr:to>
          <xdr:col>17</xdr:col>
          <xdr:colOff>238125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Удалить товар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0</xdr:row>
          <xdr:rowOff>57150</xdr:rowOff>
        </xdr:from>
        <xdr:to>
          <xdr:col>14</xdr:col>
          <xdr:colOff>323850</xdr:colOff>
          <xdr:row>3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стоимости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0</xdr:row>
          <xdr:rowOff>104775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Заполнить прайс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476250</xdr:rowOff>
        </xdr:from>
        <xdr:to>
          <xdr:col>11</xdr:col>
          <xdr:colOff>0</xdr:colOff>
          <xdr:row>2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DB1BAF8F-2669-42BC-85B5-3D7A177BC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 прайс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0</xdr:row>
          <xdr:rowOff>142875</xdr:rowOff>
        </xdr:from>
        <xdr:to>
          <xdr:col>12</xdr:col>
          <xdr:colOff>590550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Заполнить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17</xdr:col>
          <xdr:colOff>9525</xdr:colOff>
          <xdr:row>2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Сортировка по произв.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3</xdr:row>
          <xdr:rowOff>0</xdr:rowOff>
        </xdr:from>
        <xdr:to>
          <xdr:col>13</xdr:col>
          <xdr:colOff>9525</xdr:colOff>
          <xdr:row>5</xdr:row>
          <xdr:rowOff>9525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Промежуточные итоги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7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5565</xdr:colOff>
      <xdr:row>1</xdr:row>
      <xdr:rowOff>28574</xdr:rowOff>
    </xdr:from>
    <xdr:to>
      <xdr:col>5</xdr:col>
      <xdr:colOff>383345</xdr:colOff>
      <xdr:row>7</xdr:row>
      <xdr:rowOff>161924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6640" y="190499"/>
          <a:ext cx="1701755" cy="14001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11</xdr:row>
          <xdr:rowOff>0</xdr:rowOff>
        </xdr:from>
        <xdr:to>
          <xdr:col>12</xdr:col>
          <xdr:colOff>19050</xdr:colOff>
          <xdr:row>12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Заполнить прайс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12</xdr:row>
          <xdr:rowOff>0</xdr:rowOff>
        </xdr:from>
        <xdr:to>
          <xdr:col>12</xdr:col>
          <xdr:colOff>19050</xdr:colOff>
          <xdr:row>14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 прайс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3:F10"/>
  <sheetViews>
    <sheetView workbookViewId="0">
      <selection activeCell="A5" sqref="A5:F6"/>
    </sheetView>
  </sheetViews>
  <sheetFormatPr defaultRowHeight="12.75" x14ac:dyDescent="0.2"/>
  <cols>
    <col min="2" max="2" width="15.42578125" customWidth="1"/>
    <col min="3" max="3" width="13.85546875" customWidth="1"/>
    <col min="4" max="4" width="12.140625" customWidth="1"/>
    <col min="5" max="5" width="21" customWidth="1"/>
    <col min="6" max="6" width="19.140625" customWidth="1"/>
  </cols>
  <sheetData>
    <row r="3" spans="1:6" ht="15.75" x14ac:dyDescent="0.25">
      <c r="A3" s="3"/>
      <c r="B3" s="41" t="s">
        <v>133</v>
      </c>
      <c r="C3" s="41"/>
      <c r="D3" s="8">
        <v>42139</v>
      </c>
      <c r="E3" s="9"/>
      <c r="F3" s="3"/>
    </row>
    <row r="4" spans="1:6" ht="13.5" thickBot="1" x14ac:dyDescent="0.25">
      <c r="A4" s="3"/>
      <c r="B4" s="3"/>
      <c r="C4" s="3"/>
      <c r="D4" s="3"/>
      <c r="E4" s="3"/>
      <c r="F4" s="3"/>
    </row>
    <row r="5" spans="1:6" ht="12.75" customHeight="1" x14ac:dyDescent="0.2">
      <c r="A5" s="42" t="s">
        <v>0</v>
      </c>
      <c r="B5" s="42" t="s">
        <v>1</v>
      </c>
      <c r="C5" s="42" t="s">
        <v>53</v>
      </c>
      <c r="D5" s="42" t="s">
        <v>54</v>
      </c>
      <c r="E5" s="42" t="s">
        <v>128</v>
      </c>
      <c r="F5" s="42" t="s">
        <v>129</v>
      </c>
    </row>
    <row r="6" spans="1:6" x14ac:dyDescent="0.2">
      <c r="A6" s="43"/>
      <c r="B6" s="43"/>
      <c r="C6" s="43"/>
      <c r="D6" s="43"/>
      <c r="E6" s="43"/>
      <c r="F6" s="43"/>
    </row>
    <row r="7" spans="1:6" x14ac:dyDescent="0.2">
      <c r="A7" s="19"/>
      <c r="B7" s="28"/>
      <c r="C7" s="19"/>
      <c r="D7" s="20"/>
      <c r="E7" s="20"/>
      <c r="F7" s="19"/>
    </row>
    <row r="8" spans="1:6" x14ac:dyDescent="0.2">
      <c r="A8" s="19"/>
      <c r="B8" s="28"/>
      <c r="C8" s="19"/>
      <c r="D8" s="20"/>
      <c r="E8" s="20"/>
      <c r="F8" s="19"/>
    </row>
    <row r="9" spans="1:6" x14ac:dyDescent="0.2">
      <c r="A9" s="19"/>
      <c r="B9" s="28"/>
      <c r="C9" s="19"/>
      <c r="D9" s="20"/>
      <c r="E9" s="20"/>
      <c r="F9" s="19"/>
    </row>
    <row r="10" spans="1:6" x14ac:dyDescent="0.2">
      <c r="A10" s="3"/>
      <c r="B10" s="3"/>
      <c r="C10" s="3"/>
      <c r="D10" s="3"/>
      <c r="E10" s="3"/>
      <c r="F10" s="3"/>
    </row>
  </sheetData>
  <mergeCells count="7">
    <mergeCell ref="B3:C3"/>
    <mergeCell ref="E5:E6"/>
    <mergeCell ref="F5:F6"/>
    <mergeCell ref="A5:A6"/>
    <mergeCell ref="B5:B6"/>
    <mergeCell ref="C5:C6"/>
    <mergeCell ref="D5:D6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41"/>
  <sheetViews>
    <sheetView tabSelected="1" workbookViewId="0">
      <pane ySplit="5" topLeftCell="A6" activePane="bottomLeft" state="frozen"/>
      <selection pane="bottomLeft" activeCell="D62" sqref="D62"/>
    </sheetView>
  </sheetViews>
  <sheetFormatPr defaultRowHeight="12.75" x14ac:dyDescent="0.2"/>
  <cols>
    <col min="1" max="1" width="11.5703125" customWidth="1"/>
    <col min="2" max="2" width="19.42578125" customWidth="1"/>
    <col min="3" max="3" width="12.28515625" customWidth="1"/>
    <col min="4" max="4" width="11.85546875" customWidth="1"/>
    <col min="5" max="5" width="12.85546875" customWidth="1"/>
    <col min="6" max="6" width="12.140625" customWidth="1"/>
    <col min="8" max="8" width="17.7109375" customWidth="1"/>
    <col min="9" max="9" width="15.28515625" customWidth="1"/>
  </cols>
  <sheetData>
    <row r="1" spans="1:12" ht="23.25" customHeight="1" x14ac:dyDescent="0.4">
      <c r="A1" s="31"/>
      <c r="B1" s="31"/>
      <c r="C1" s="31"/>
      <c r="D1" s="44" t="s">
        <v>131</v>
      </c>
      <c r="E1" s="44"/>
      <c r="F1" s="44"/>
      <c r="G1" s="31"/>
      <c r="H1" s="31"/>
      <c r="I1" s="31"/>
    </row>
    <row r="2" spans="1:12" ht="19.5" customHeight="1" x14ac:dyDescent="0.4">
      <c r="B2" s="10"/>
      <c r="C2" s="10"/>
      <c r="D2" s="44"/>
      <c r="E2" s="44"/>
      <c r="F2" s="44"/>
    </row>
    <row r="3" spans="1:12" ht="13.5" thickBot="1" x14ac:dyDescent="0.25"/>
    <row r="4" spans="1:12" x14ac:dyDescent="0.2">
      <c r="A4" s="42" t="s">
        <v>0</v>
      </c>
      <c r="B4" s="47" t="s">
        <v>1</v>
      </c>
      <c r="C4" s="47" t="s">
        <v>2</v>
      </c>
      <c r="D4" s="45" t="s">
        <v>3</v>
      </c>
      <c r="E4" s="45"/>
      <c r="F4" s="45"/>
      <c r="G4" s="45"/>
      <c r="H4" s="45" t="s">
        <v>8</v>
      </c>
      <c r="I4" s="47" t="s">
        <v>9</v>
      </c>
      <c r="J4" s="30"/>
    </row>
    <row r="5" spans="1:12" x14ac:dyDescent="0.2">
      <c r="A5" s="43"/>
      <c r="B5" s="48"/>
      <c r="C5" s="48"/>
      <c r="D5" s="38" t="s">
        <v>4</v>
      </c>
      <c r="E5" s="39" t="s">
        <v>5</v>
      </c>
      <c r="F5" s="38" t="s">
        <v>6</v>
      </c>
      <c r="G5" s="38" t="s">
        <v>7</v>
      </c>
      <c r="H5" s="46"/>
      <c r="I5" s="48"/>
      <c r="J5" s="30"/>
    </row>
    <row r="6" spans="1:12" x14ac:dyDescent="0.2">
      <c r="A6" s="17">
        <v>10</v>
      </c>
      <c r="B6" s="15" t="s">
        <v>10</v>
      </c>
      <c r="C6" s="15" t="s">
        <v>33</v>
      </c>
      <c r="D6" s="18">
        <v>11</v>
      </c>
      <c r="E6" s="18"/>
      <c r="F6" s="18">
        <f>IF(D6,D6*VLOOKUP(Заказ!$D$3,Курс_уе,2,1),E6)</f>
        <v>348.7</v>
      </c>
      <c r="G6" s="18">
        <f>F6*1.3</f>
        <v>453.31</v>
      </c>
      <c r="H6" s="15" t="s">
        <v>40</v>
      </c>
      <c r="I6" s="15" t="s">
        <v>47</v>
      </c>
      <c r="J6" s="29"/>
      <c r="L6" s="25" t="s">
        <v>33</v>
      </c>
    </row>
    <row r="7" spans="1:12" x14ac:dyDescent="0.2">
      <c r="A7" s="17">
        <v>11</v>
      </c>
      <c r="B7" s="15" t="s">
        <v>11</v>
      </c>
      <c r="C7" s="15" t="s">
        <v>33</v>
      </c>
      <c r="D7" s="18">
        <v>1.7</v>
      </c>
      <c r="E7" s="18"/>
      <c r="F7" s="18">
        <f>IF(D7,D7*VLOOKUP(Заказ!$D$3,Курс_уе,2,1),E7)</f>
        <v>53.89</v>
      </c>
      <c r="G7" s="18">
        <f t="shared" ref="G7:G28" si="0">F7*1.3</f>
        <v>70.057000000000002</v>
      </c>
      <c r="H7" s="15" t="s">
        <v>41</v>
      </c>
      <c r="I7" s="15" t="s">
        <v>48</v>
      </c>
      <c r="J7" s="29"/>
      <c r="L7" s="25" t="s">
        <v>34</v>
      </c>
    </row>
    <row r="8" spans="1:12" x14ac:dyDescent="0.2">
      <c r="A8" s="17">
        <v>12</v>
      </c>
      <c r="B8" s="15" t="s">
        <v>12</v>
      </c>
      <c r="C8" s="15" t="s">
        <v>34</v>
      </c>
      <c r="D8" s="18"/>
      <c r="E8" s="18">
        <v>10</v>
      </c>
      <c r="F8" s="18">
        <f>IF(D8,D8*VLOOKUP(Заказ!$D$3,Курс_уе,2,1),E8)</f>
        <v>10</v>
      </c>
      <c r="G8" s="18">
        <f t="shared" si="0"/>
        <v>13</v>
      </c>
      <c r="H8" s="15" t="s">
        <v>134</v>
      </c>
      <c r="I8" s="15" t="s">
        <v>47</v>
      </c>
      <c r="J8" s="29"/>
      <c r="L8" s="26" t="s">
        <v>136</v>
      </c>
    </row>
    <row r="9" spans="1:12" x14ac:dyDescent="0.2">
      <c r="A9" s="17">
        <v>13</v>
      </c>
      <c r="B9" s="15" t="s">
        <v>13</v>
      </c>
      <c r="C9" s="15" t="s">
        <v>34</v>
      </c>
      <c r="D9" s="18"/>
      <c r="E9" s="18">
        <v>10</v>
      </c>
      <c r="F9" s="18">
        <f>IF(D9,D9*VLOOKUP(Заказ!$D$3,Курс_уе,2,1),E9)</f>
        <v>10</v>
      </c>
      <c r="G9" s="18">
        <f t="shared" si="0"/>
        <v>13</v>
      </c>
      <c r="H9" s="15" t="s">
        <v>134</v>
      </c>
      <c r="I9" s="15" t="s">
        <v>47</v>
      </c>
      <c r="J9" s="29"/>
      <c r="L9" s="26" t="s">
        <v>36</v>
      </c>
    </row>
    <row r="10" spans="1:12" x14ac:dyDescent="0.2">
      <c r="A10" s="17">
        <v>14</v>
      </c>
      <c r="B10" s="15" t="s">
        <v>14</v>
      </c>
      <c r="C10" s="15" t="s">
        <v>34</v>
      </c>
      <c r="D10" s="18"/>
      <c r="E10" s="18">
        <v>10</v>
      </c>
      <c r="F10" s="18">
        <f>IF(D10,D10*VLOOKUP(Заказ!$D$3,Курс_уе,2,1),E10)</f>
        <v>10</v>
      </c>
      <c r="G10" s="18">
        <f t="shared" si="0"/>
        <v>13</v>
      </c>
      <c r="H10" s="15" t="s">
        <v>134</v>
      </c>
      <c r="I10" s="15" t="s">
        <v>47</v>
      </c>
      <c r="J10" s="29"/>
      <c r="L10" s="26" t="s">
        <v>37</v>
      </c>
    </row>
    <row r="11" spans="1:12" x14ac:dyDescent="0.2">
      <c r="A11" s="17">
        <v>15</v>
      </c>
      <c r="B11" s="15" t="s">
        <v>15</v>
      </c>
      <c r="C11" s="15" t="s">
        <v>34</v>
      </c>
      <c r="D11" s="18"/>
      <c r="E11" s="18">
        <v>10</v>
      </c>
      <c r="F11" s="18">
        <f>IF(D11,D11*VLOOKUP(Заказ!$D$3,Курс_уе,2,1),E11)</f>
        <v>10</v>
      </c>
      <c r="G11" s="18">
        <f t="shared" si="0"/>
        <v>13</v>
      </c>
      <c r="H11" s="15" t="s">
        <v>134</v>
      </c>
      <c r="I11" s="15" t="s">
        <v>47</v>
      </c>
      <c r="J11" s="29"/>
      <c r="L11" s="26"/>
    </row>
    <row r="12" spans="1:12" x14ac:dyDescent="0.2">
      <c r="A12" s="17">
        <v>16</v>
      </c>
      <c r="B12" s="15" t="s">
        <v>16</v>
      </c>
      <c r="C12" s="15" t="s">
        <v>34</v>
      </c>
      <c r="D12" s="18"/>
      <c r="E12" s="18">
        <v>18</v>
      </c>
      <c r="F12" s="18">
        <f>IF(D12,D12*VLOOKUP(Заказ!$D$3,Курс_уе,2,1),E12)</f>
        <v>18</v>
      </c>
      <c r="G12" s="18">
        <f>F12*1.3</f>
        <v>23.400000000000002</v>
      </c>
      <c r="H12" s="15" t="s">
        <v>40</v>
      </c>
      <c r="I12" s="15" t="s">
        <v>47</v>
      </c>
      <c r="J12" s="29"/>
      <c r="L12" s="26"/>
    </row>
    <row r="13" spans="1:12" x14ac:dyDescent="0.2">
      <c r="A13" s="17">
        <v>17</v>
      </c>
      <c r="B13" s="15" t="s">
        <v>17</v>
      </c>
      <c r="C13" s="15" t="s">
        <v>34</v>
      </c>
      <c r="D13" s="18"/>
      <c r="E13" s="18">
        <v>21</v>
      </c>
      <c r="F13" s="18">
        <f>IF(D13,D13*VLOOKUP(Заказ!$D$3,Курс_уе,2,1),E13)</f>
        <v>21</v>
      </c>
      <c r="G13" s="18">
        <f t="shared" si="0"/>
        <v>27.3</v>
      </c>
      <c r="H13" s="15" t="s">
        <v>40</v>
      </c>
      <c r="I13" s="15" t="s">
        <v>47</v>
      </c>
      <c r="J13" s="29"/>
    </row>
    <row r="14" spans="1:12" x14ac:dyDescent="0.2">
      <c r="A14" s="17">
        <v>18</v>
      </c>
      <c r="B14" s="15" t="s">
        <v>18</v>
      </c>
      <c r="C14" s="15" t="s">
        <v>34</v>
      </c>
      <c r="D14" s="18"/>
      <c r="E14" s="18">
        <v>27</v>
      </c>
      <c r="F14" s="18">
        <f>IF(D14,D14*VLOOKUP(Заказ!$D$3,Курс_уе,2,1),E14)</f>
        <v>27</v>
      </c>
      <c r="G14" s="18">
        <f t="shared" si="0"/>
        <v>35.1</v>
      </c>
      <c r="H14" s="15" t="s">
        <v>40</v>
      </c>
      <c r="I14" s="15" t="s">
        <v>47</v>
      </c>
      <c r="J14" s="29"/>
    </row>
    <row r="15" spans="1:12" x14ac:dyDescent="0.2">
      <c r="A15" s="17">
        <v>19</v>
      </c>
      <c r="B15" s="15" t="s">
        <v>19</v>
      </c>
      <c r="C15" s="15" t="s">
        <v>35</v>
      </c>
      <c r="D15" s="18"/>
      <c r="E15" s="18">
        <v>45</v>
      </c>
      <c r="F15" s="18">
        <f>IF(D15,D15*VLOOKUP(Заказ!$D$3,Курс_уе,2,1),E15)</f>
        <v>45</v>
      </c>
      <c r="G15" s="18">
        <f t="shared" si="0"/>
        <v>58.5</v>
      </c>
      <c r="H15" s="15" t="s">
        <v>42</v>
      </c>
      <c r="I15" s="15" t="s">
        <v>49</v>
      </c>
      <c r="J15" s="29"/>
    </row>
    <row r="16" spans="1:12" x14ac:dyDescent="0.2">
      <c r="A16" s="17">
        <v>20</v>
      </c>
      <c r="B16" s="15" t="s">
        <v>20</v>
      </c>
      <c r="C16" s="15" t="s">
        <v>35</v>
      </c>
      <c r="D16" s="18"/>
      <c r="E16" s="18">
        <v>50</v>
      </c>
      <c r="F16" s="18">
        <f>IF(D16,D16*VLOOKUP(Заказ!$D$3,Курс_уе,2,1),E16)</f>
        <v>50</v>
      </c>
      <c r="G16" s="18">
        <f t="shared" si="0"/>
        <v>65</v>
      </c>
      <c r="H16" s="15" t="s">
        <v>42</v>
      </c>
      <c r="I16" s="15" t="s">
        <v>49</v>
      </c>
      <c r="J16" s="29"/>
    </row>
    <row r="17" spans="1:10" x14ac:dyDescent="0.2">
      <c r="A17" s="17">
        <v>21</v>
      </c>
      <c r="B17" s="15" t="s">
        <v>21</v>
      </c>
      <c r="C17" s="15" t="s">
        <v>35</v>
      </c>
      <c r="D17" s="18"/>
      <c r="E17" s="18">
        <v>98</v>
      </c>
      <c r="F17" s="18">
        <f>IF(D17,D17*VLOOKUP(Заказ!$D$3,Курс_уе,2,1),E17)</f>
        <v>98</v>
      </c>
      <c r="G17" s="18">
        <f t="shared" si="0"/>
        <v>127.4</v>
      </c>
      <c r="H17" s="15" t="s">
        <v>43</v>
      </c>
      <c r="I17" s="15" t="s">
        <v>47</v>
      </c>
      <c r="J17" s="29"/>
    </row>
    <row r="18" spans="1:10" x14ac:dyDescent="0.2">
      <c r="A18" s="17">
        <v>22</v>
      </c>
      <c r="B18" s="15" t="s">
        <v>22</v>
      </c>
      <c r="C18" s="15" t="s">
        <v>35</v>
      </c>
      <c r="D18" s="18"/>
      <c r="E18" s="18">
        <v>104</v>
      </c>
      <c r="F18" s="18">
        <f>IF(D18,D18*VLOOKUP(Заказ!$D$3,Курс_уе,2,1),E18)</f>
        <v>104</v>
      </c>
      <c r="G18" s="18">
        <f t="shared" si="0"/>
        <v>135.20000000000002</v>
      </c>
      <c r="H18" s="15" t="s">
        <v>44</v>
      </c>
      <c r="I18" s="15" t="s">
        <v>50</v>
      </c>
      <c r="J18" s="29"/>
    </row>
    <row r="19" spans="1:10" x14ac:dyDescent="0.2">
      <c r="A19" s="17">
        <v>23</v>
      </c>
      <c r="B19" s="15" t="s">
        <v>23</v>
      </c>
      <c r="C19" s="15" t="s">
        <v>35</v>
      </c>
      <c r="D19" s="18"/>
      <c r="E19" s="18">
        <v>65</v>
      </c>
      <c r="F19" s="18">
        <f>IF(D19,D19*VLOOKUP(Заказ!$D$3,Курс_уе,2,1),E19)</f>
        <v>65</v>
      </c>
      <c r="G19" s="18">
        <f t="shared" si="0"/>
        <v>84.5</v>
      </c>
      <c r="H19" s="15" t="s">
        <v>45</v>
      </c>
      <c r="I19" s="15" t="s">
        <v>51</v>
      </c>
      <c r="J19" s="29"/>
    </row>
    <row r="20" spans="1:10" x14ac:dyDescent="0.2">
      <c r="A20" s="17">
        <v>24</v>
      </c>
      <c r="B20" s="15" t="s">
        <v>24</v>
      </c>
      <c r="C20" s="15" t="s">
        <v>36</v>
      </c>
      <c r="D20" s="18"/>
      <c r="E20" s="18">
        <v>9.5</v>
      </c>
      <c r="F20" s="18">
        <f>IF(D20,D20*VLOOKUP(Заказ!$D$3,Курс_уе,2,1),E20)</f>
        <v>9.5</v>
      </c>
      <c r="G20" s="18">
        <f t="shared" si="0"/>
        <v>12.35</v>
      </c>
      <c r="H20" s="15" t="s">
        <v>43</v>
      </c>
      <c r="I20" s="15" t="s">
        <v>47</v>
      </c>
      <c r="J20" s="29"/>
    </row>
    <row r="21" spans="1:10" x14ac:dyDescent="0.2">
      <c r="A21" s="17">
        <v>25</v>
      </c>
      <c r="B21" s="15" t="s">
        <v>25</v>
      </c>
      <c r="C21" s="15" t="s">
        <v>36</v>
      </c>
      <c r="D21" s="18"/>
      <c r="E21" s="18">
        <v>5.5</v>
      </c>
      <c r="F21" s="18">
        <f>IF(D21,D21*VLOOKUP(Заказ!$D$3,Курс_уе,2,1),E21)</f>
        <v>5.5</v>
      </c>
      <c r="G21" s="18">
        <f t="shared" si="0"/>
        <v>7.15</v>
      </c>
      <c r="H21" s="15" t="s">
        <v>46</v>
      </c>
      <c r="I21" s="15" t="s">
        <v>47</v>
      </c>
      <c r="J21" s="29"/>
    </row>
    <row r="22" spans="1:10" x14ac:dyDescent="0.2">
      <c r="A22" s="17">
        <v>26</v>
      </c>
      <c r="B22" s="15" t="s">
        <v>26</v>
      </c>
      <c r="C22" s="15" t="s">
        <v>36</v>
      </c>
      <c r="D22" s="18"/>
      <c r="E22" s="18">
        <v>5.5</v>
      </c>
      <c r="F22" s="18">
        <f>IF(D22,D22*VLOOKUP(Заказ!$D$3,Курс_уе,2,1),E22)</f>
        <v>5.5</v>
      </c>
      <c r="G22" s="18">
        <f t="shared" si="0"/>
        <v>7.15</v>
      </c>
      <c r="H22" s="15" t="s">
        <v>46</v>
      </c>
      <c r="I22" s="15" t="s">
        <v>47</v>
      </c>
      <c r="J22" s="29"/>
    </row>
    <row r="23" spans="1:10" x14ac:dyDescent="0.2">
      <c r="A23" s="17">
        <v>27</v>
      </c>
      <c r="B23" s="15" t="s">
        <v>27</v>
      </c>
      <c r="C23" s="15" t="s">
        <v>36</v>
      </c>
      <c r="D23" s="18"/>
      <c r="E23" s="18">
        <v>5.5</v>
      </c>
      <c r="F23" s="18">
        <f>IF(D23,D23*VLOOKUP(Заказ!$D$3,Курс_уе,2,1),E23)</f>
        <v>5.5</v>
      </c>
      <c r="G23" s="18">
        <f t="shared" si="0"/>
        <v>7.15</v>
      </c>
      <c r="H23" s="15" t="s">
        <v>46</v>
      </c>
      <c r="I23" s="15" t="s">
        <v>47</v>
      </c>
      <c r="J23" s="29"/>
    </row>
    <row r="24" spans="1:10" x14ac:dyDescent="0.2">
      <c r="A24" s="17">
        <v>28</v>
      </c>
      <c r="B24" s="15" t="s">
        <v>28</v>
      </c>
      <c r="C24" s="15" t="s">
        <v>34</v>
      </c>
      <c r="D24" s="18"/>
      <c r="E24" s="18">
        <v>17</v>
      </c>
      <c r="F24" s="18">
        <f>IF(D24,D24*VLOOKUP(Заказ!$D$3,Курс_уе,2,1),E24)</f>
        <v>17</v>
      </c>
      <c r="G24" s="18">
        <f t="shared" si="0"/>
        <v>22.1</v>
      </c>
      <c r="H24" s="15" t="s">
        <v>40</v>
      </c>
      <c r="I24" s="15" t="s">
        <v>47</v>
      </c>
      <c r="J24" s="29"/>
    </row>
    <row r="25" spans="1:10" x14ac:dyDescent="0.2">
      <c r="A25" s="17">
        <v>29</v>
      </c>
      <c r="B25" s="15" t="s">
        <v>29</v>
      </c>
      <c r="C25" s="15" t="s">
        <v>34</v>
      </c>
      <c r="D25" s="18"/>
      <c r="E25" s="18">
        <v>13</v>
      </c>
      <c r="F25" s="18">
        <f>IF(D25,D25*VLOOKUP(Заказ!$D$3,Курс_уе,2,1),E25)</f>
        <v>13</v>
      </c>
      <c r="G25" s="18">
        <f t="shared" si="0"/>
        <v>16.900000000000002</v>
      </c>
      <c r="H25" s="15" t="s">
        <v>40</v>
      </c>
      <c r="I25" s="15" t="s">
        <v>47</v>
      </c>
      <c r="J25" s="29"/>
    </row>
    <row r="26" spans="1:10" x14ac:dyDescent="0.2">
      <c r="A26" s="17">
        <v>35</v>
      </c>
      <c r="B26" s="15" t="s">
        <v>31</v>
      </c>
      <c r="C26" s="15" t="s">
        <v>34</v>
      </c>
      <c r="D26" s="18"/>
      <c r="E26" s="18">
        <v>12.5</v>
      </c>
      <c r="F26" s="18">
        <f>IF(D26,D26*VLOOKUP(Заказ!$D$3,Курс_уе,2,1),E26)</f>
        <v>12.5</v>
      </c>
      <c r="G26" s="18">
        <f t="shared" si="0"/>
        <v>16.25</v>
      </c>
      <c r="H26" s="15" t="s">
        <v>40</v>
      </c>
      <c r="I26" s="15" t="s">
        <v>47</v>
      </c>
      <c r="J26" s="29"/>
    </row>
    <row r="27" spans="1:10" x14ac:dyDescent="0.2">
      <c r="A27" s="17">
        <v>52</v>
      </c>
      <c r="B27" s="15" t="s">
        <v>30</v>
      </c>
      <c r="C27" s="15" t="s">
        <v>34</v>
      </c>
      <c r="D27" s="18"/>
      <c r="E27" s="18">
        <v>11.5</v>
      </c>
      <c r="F27" s="18">
        <f>IF(D27,D27*VLOOKUP(Заказ!$D$3,Курс_уе,2,1),E27)</f>
        <v>11.5</v>
      </c>
      <c r="G27" s="18">
        <f t="shared" si="0"/>
        <v>14.950000000000001</v>
      </c>
      <c r="H27" s="15" t="s">
        <v>40</v>
      </c>
      <c r="I27" s="15" t="s">
        <v>47</v>
      </c>
      <c r="J27" s="29"/>
    </row>
    <row r="28" spans="1:10" x14ac:dyDescent="0.2">
      <c r="A28" s="17">
        <v>90</v>
      </c>
      <c r="B28" s="15" t="s">
        <v>32</v>
      </c>
      <c r="C28" s="15" t="s">
        <v>34</v>
      </c>
      <c r="D28" s="18"/>
      <c r="E28" s="18">
        <v>7</v>
      </c>
      <c r="F28" s="18">
        <f>IF(D28,D28*VLOOKUP(Заказ!$D$3,Курс_уе,2,1),E28)</f>
        <v>7</v>
      </c>
      <c r="G28" s="18">
        <f t="shared" si="0"/>
        <v>9.1</v>
      </c>
      <c r="H28" s="15" t="s">
        <v>134</v>
      </c>
      <c r="I28" s="15" t="s">
        <v>47</v>
      </c>
      <c r="J28" s="29"/>
    </row>
    <row r="29" spans="1:10" x14ac:dyDescent="0.2">
      <c r="A29" s="29"/>
      <c r="B29" s="35"/>
      <c r="C29" s="35"/>
      <c r="D29" s="36"/>
      <c r="E29" s="36"/>
      <c r="H29" s="35"/>
      <c r="I29" s="35"/>
      <c r="J29" s="29"/>
    </row>
    <row r="30" spans="1:10" x14ac:dyDescent="0.2">
      <c r="A30" s="29"/>
      <c r="B30" s="35"/>
      <c r="C30" s="35"/>
      <c r="D30" s="36"/>
      <c r="E30" s="36"/>
      <c r="F30" s="36"/>
      <c r="G30" s="36"/>
      <c r="H30" s="35"/>
      <c r="I30" s="35"/>
      <c r="J30" s="29"/>
    </row>
    <row r="32" spans="1:10" x14ac:dyDescent="0.2">
      <c r="A32" s="29"/>
      <c r="E32" s="2"/>
    </row>
    <row r="33" spans="5:5" x14ac:dyDescent="0.2">
      <c r="E33" s="2"/>
    </row>
    <row r="34" spans="5:5" x14ac:dyDescent="0.2">
      <c r="E34" s="2"/>
    </row>
    <row r="35" spans="5:5" x14ac:dyDescent="0.2">
      <c r="E35" s="2"/>
    </row>
    <row r="36" spans="5:5" x14ac:dyDescent="0.2">
      <c r="E36" s="2"/>
    </row>
    <row r="37" spans="5:5" x14ac:dyDescent="0.2">
      <c r="E37" s="2"/>
    </row>
    <row r="38" spans="5:5" x14ac:dyDescent="0.2">
      <c r="E38" s="2"/>
    </row>
    <row r="39" spans="5:5" x14ac:dyDescent="0.2">
      <c r="E39" s="2"/>
    </row>
    <row r="40" spans="5:5" x14ac:dyDescent="0.2">
      <c r="E40" s="2"/>
    </row>
    <row r="41" spans="5:5" x14ac:dyDescent="0.2">
      <c r="E41" s="2"/>
    </row>
  </sheetData>
  <mergeCells count="7">
    <mergeCell ref="D1:F2"/>
    <mergeCell ref="H4:H5"/>
    <mergeCell ref="I4:I5"/>
    <mergeCell ref="A4:A5"/>
    <mergeCell ref="B4:B5"/>
    <mergeCell ref="C4:C5"/>
    <mergeCell ref="D4:G4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1Show">
                <anchor moveWithCells="1" sizeWithCells="1">
                  <from>
                    <xdr:col>10</xdr:col>
                    <xdr:colOff>323850</xdr:colOff>
                    <xdr:row>0</xdr:row>
                    <xdr:rowOff>285750</xdr:rowOff>
                  </from>
                  <to>
                    <xdr:col>12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orm2Show">
                <anchor moveWithCells="1" sizeWithCells="1">
                  <from>
                    <xdr:col>13</xdr:col>
                    <xdr:colOff>19050</xdr:colOff>
                    <xdr:row>0</xdr:row>
                    <xdr:rowOff>276225</xdr:rowOff>
                  </from>
                  <to>
                    <xdr:col>14</xdr:col>
                    <xdr:colOff>600075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orm2_1Show">
                <anchor moveWithCells="1" sizeWithCells="1">
                  <from>
                    <xdr:col>15</xdr:col>
                    <xdr:colOff>323850</xdr:colOff>
                    <xdr:row>1</xdr:row>
                    <xdr:rowOff>19050</xdr:rowOff>
                  </from>
                  <to>
                    <xdr:col>17</xdr:col>
                    <xdr:colOff>238125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2:I53"/>
  <sheetViews>
    <sheetView topLeftCell="A13" zoomScaleNormal="100" workbookViewId="0">
      <selection activeCell="M21" sqref="M21"/>
    </sheetView>
  </sheetViews>
  <sheetFormatPr defaultRowHeight="12.75" x14ac:dyDescent="0.2"/>
  <cols>
    <col min="1" max="1" width="10.140625" style="4" bestFit="1" customWidth="1"/>
    <col min="3" max="3" width="17.5703125" customWidth="1"/>
    <col min="5" max="6" width="12.5703125" customWidth="1"/>
    <col min="7" max="7" width="11.7109375" customWidth="1"/>
    <col min="9" max="9" width="10.5703125" customWidth="1"/>
  </cols>
  <sheetData>
    <row r="2" spans="1:9" x14ac:dyDescent="0.2">
      <c r="C2" s="49" t="s">
        <v>130</v>
      </c>
      <c r="D2" s="49"/>
      <c r="E2" s="49"/>
    </row>
    <row r="3" spans="1:9" x14ac:dyDescent="0.2">
      <c r="C3" s="49"/>
      <c r="D3" s="49"/>
      <c r="E3" s="49"/>
    </row>
    <row r="4" spans="1:9" ht="13.5" thickBot="1" x14ac:dyDescent="0.25"/>
    <row r="5" spans="1:9" ht="12.75" customHeight="1" x14ac:dyDescent="0.2">
      <c r="A5" s="42" t="s">
        <v>38</v>
      </c>
      <c r="B5" s="42" t="s">
        <v>0</v>
      </c>
      <c r="C5" s="42" t="s">
        <v>1</v>
      </c>
      <c r="D5" s="42" t="s">
        <v>52</v>
      </c>
      <c r="E5" s="42" t="s">
        <v>53</v>
      </c>
      <c r="F5" s="42" t="s">
        <v>2</v>
      </c>
      <c r="G5" s="42" t="s">
        <v>54</v>
      </c>
      <c r="H5" s="42" t="s">
        <v>55</v>
      </c>
      <c r="I5" s="42" t="s">
        <v>56</v>
      </c>
    </row>
    <row r="6" spans="1:9" x14ac:dyDescent="0.2">
      <c r="A6" s="43"/>
      <c r="B6" s="43"/>
      <c r="C6" s="43"/>
      <c r="D6" s="43"/>
      <c r="E6" s="43"/>
      <c r="F6" s="43"/>
      <c r="G6" s="43"/>
      <c r="H6" s="43"/>
      <c r="I6" s="43"/>
    </row>
    <row r="7" spans="1:9" x14ac:dyDescent="0.2">
      <c r="A7" s="11">
        <v>42077</v>
      </c>
      <c r="B7" s="13">
        <v>10</v>
      </c>
      <c r="C7" s="1" t="str">
        <f t="shared" ref="C7:C38" si="0">VLOOKUP(B7,товар,2,0)</f>
        <v>бифидо кефир</v>
      </c>
      <c r="D7" s="15" t="s">
        <v>57</v>
      </c>
      <c r="E7" s="13">
        <v>30</v>
      </c>
      <c r="F7" s="1" t="str">
        <f t="shared" ref="F7:F38" si="1">VLOOKUP(B7,товар,3,0)</f>
        <v>бут.</v>
      </c>
      <c r="G7" s="15" t="s">
        <v>63</v>
      </c>
      <c r="H7" s="18">
        <v>453.31</v>
      </c>
      <c r="I7" s="32">
        <v>13599.3</v>
      </c>
    </row>
    <row r="8" spans="1:9" x14ac:dyDescent="0.2">
      <c r="A8" s="11">
        <v>42077</v>
      </c>
      <c r="B8" s="13">
        <v>11</v>
      </c>
      <c r="C8" s="1" t="str">
        <f t="shared" si="0"/>
        <v>кефир фруктовый</v>
      </c>
      <c r="D8" s="15" t="s">
        <v>57</v>
      </c>
      <c r="E8" s="13">
        <v>45</v>
      </c>
      <c r="F8" s="1" t="str">
        <f t="shared" si="1"/>
        <v>бут.</v>
      </c>
      <c r="G8" s="15"/>
      <c r="H8" s="18">
        <v>70.057000000000002</v>
      </c>
      <c r="I8" s="32">
        <v>3152.5650000000001</v>
      </c>
    </row>
    <row r="9" spans="1:9" x14ac:dyDescent="0.2">
      <c r="A9" s="11">
        <v>42079</v>
      </c>
      <c r="B9" s="13">
        <v>12</v>
      </c>
      <c r="C9" s="1" t="str">
        <f t="shared" si="0"/>
        <v xml:space="preserve">йогурт\малина </v>
      </c>
      <c r="D9" s="15" t="s">
        <v>57</v>
      </c>
      <c r="E9" s="13">
        <v>60</v>
      </c>
      <c r="F9" s="1" t="str">
        <f t="shared" si="1"/>
        <v>пакет</v>
      </c>
      <c r="G9" s="15"/>
      <c r="H9" s="18">
        <v>13</v>
      </c>
      <c r="I9" s="32">
        <v>780</v>
      </c>
    </row>
    <row r="10" spans="1:9" x14ac:dyDescent="0.2">
      <c r="A10" s="11">
        <v>42079</v>
      </c>
      <c r="B10" s="13">
        <v>13</v>
      </c>
      <c r="C10" s="1" t="str">
        <f t="shared" si="0"/>
        <v xml:space="preserve">йогурт\клубника </v>
      </c>
      <c r="D10" s="15" t="s">
        <v>57</v>
      </c>
      <c r="E10" s="13">
        <v>60</v>
      </c>
      <c r="F10" s="1" t="str">
        <f t="shared" si="1"/>
        <v>пакет</v>
      </c>
      <c r="G10" s="15" t="s">
        <v>100</v>
      </c>
      <c r="H10" s="18">
        <v>13</v>
      </c>
      <c r="I10" s="32">
        <v>780</v>
      </c>
    </row>
    <row r="11" spans="1:9" x14ac:dyDescent="0.2">
      <c r="A11" s="11">
        <v>42079</v>
      </c>
      <c r="B11" s="13">
        <v>14</v>
      </c>
      <c r="C11" s="1" t="str">
        <f t="shared" si="0"/>
        <v>йогурт\смородина</v>
      </c>
      <c r="D11" s="15" t="s">
        <v>57</v>
      </c>
      <c r="E11" s="13">
        <v>60</v>
      </c>
      <c r="F11" s="1" t="str">
        <f t="shared" si="1"/>
        <v>пакет</v>
      </c>
      <c r="G11" s="15" t="s">
        <v>100</v>
      </c>
      <c r="H11" s="18">
        <v>13</v>
      </c>
      <c r="I11" s="32">
        <v>780</v>
      </c>
    </row>
    <row r="12" spans="1:9" x14ac:dyDescent="0.2">
      <c r="A12" s="11">
        <v>42082</v>
      </c>
      <c r="B12" s="13">
        <v>15</v>
      </c>
      <c r="C12" s="1" t="str">
        <f t="shared" si="0"/>
        <v>йогурт\яблоко</v>
      </c>
      <c r="D12" s="15" t="s">
        <v>58</v>
      </c>
      <c r="E12" s="13">
        <v>55</v>
      </c>
      <c r="F12" s="1" t="str">
        <f t="shared" si="1"/>
        <v>пакет</v>
      </c>
      <c r="G12" s="15" t="s">
        <v>105</v>
      </c>
      <c r="H12" s="18">
        <v>13</v>
      </c>
      <c r="I12" s="32">
        <v>715</v>
      </c>
    </row>
    <row r="13" spans="1:9" x14ac:dyDescent="0.2">
      <c r="A13" s="11">
        <v>42109</v>
      </c>
      <c r="B13" s="13">
        <v>16</v>
      </c>
      <c r="C13" s="1" t="str">
        <f t="shared" si="0"/>
        <v>сметана 0.3</v>
      </c>
      <c r="D13" s="15" t="s">
        <v>58</v>
      </c>
      <c r="E13" s="13">
        <v>20</v>
      </c>
      <c r="F13" s="1" t="str">
        <f t="shared" si="1"/>
        <v>пакет</v>
      </c>
      <c r="G13" s="15" t="s">
        <v>103</v>
      </c>
      <c r="H13" s="18">
        <v>23.400000000000002</v>
      </c>
      <c r="I13" s="32">
        <v>468.00000000000006</v>
      </c>
    </row>
    <row r="14" spans="1:9" x14ac:dyDescent="0.2">
      <c r="A14" s="11">
        <v>42097</v>
      </c>
      <c r="B14" s="13">
        <v>17</v>
      </c>
      <c r="C14" s="1" t="str">
        <f t="shared" si="0"/>
        <v>сметана 1.5</v>
      </c>
      <c r="D14" s="15" t="s">
        <v>58</v>
      </c>
      <c r="E14" s="13">
        <v>55</v>
      </c>
      <c r="F14" s="1" t="str">
        <f t="shared" si="1"/>
        <v>пакет</v>
      </c>
      <c r="G14" s="15" t="s">
        <v>107</v>
      </c>
      <c r="H14" s="18">
        <v>27.3</v>
      </c>
      <c r="I14" s="32">
        <v>1501.5</v>
      </c>
    </row>
    <row r="15" spans="1:9" x14ac:dyDescent="0.2">
      <c r="A15" s="11">
        <v>42103</v>
      </c>
      <c r="B15" s="13">
        <v>18</v>
      </c>
      <c r="C15" s="1" t="str">
        <f t="shared" si="0"/>
        <v>сметана 2.7</v>
      </c>
      <c r="D15" s="15" t="s">
        <v>58</v>
      </c>
      <c r="E15" s="13">
        <v>63</v>
      </c>
      <c r="F15" s="1" t="str">
        <f t="shared" si="1"/>
        <v>пакет</v>
      </c>
      <c r="G15" s="15" t="s">
        <v>99</v>
      </c>
      <c r="H15" s="18">
        <v>35.1</v>
      </c>
      <c r="I15" s="32">
        <v>2211.3000000000002</v>
      </c>
    </row>
    <row r="16" spans="1:9" x14ac:dyDescent="0.2">
      <c r="A16" s="11">
        <v>42105</v>
      </c>
      <c r="B16" s="13">
        <v>19</v>
      </c>
      <c r="C16" s="1" t="str">
        <f t="shared" si="0"/>
        <v>творог</v>
      </c>
      <c r="D16" s="15" t="s">
        <v>57</v>
      </c>
      <c r="E16" s="13">
        <v>10</v>
      </c>
      <c r="F16" s="1" t="str">
        <f t="shared" si="1"/>
        <v>кг.</v>
      </c>
      <c r="G16" s="15" t="s">
        <v>102</v>
      </c>
      <c r="H16" s="18">
        <v>58.5</v>
      </c>
      <c r="I16" s="32">
        <v>585</v>
      </c>
    </row>
    <row r="17" spans="1:9" x14ac:dyDescent="0.2">
      <c r="A17" s="11">
        <v>42126</v>
      </c>
      <c r="B17" s="13">
        <v>20</v>
      </c>
      <c r="C17" s="1" t="str">
        <f t="shared" si="0"/>
        <v>творожная масса</v>
      </c>
      <c r="D17" s="15" t="s">
        <v>58</v>
      </c>
      <c r="E17" s="13">
        <v>17</v>
      </c>
      <c r="F17" s="1" t="str">
        <f t="shared" si="1"/>
        <v>кг.</v>
      </c>
      <c r="G17" s="15" t="s">
        <v>103</v>
      </c>
      <c r="H17" s="18">
        <v>65</v>
      </c>
      <c r="I17" s="32">
        <v>1105</v>
      </c>
    </row>
    <row r="18" spans="1:9" x14ac:dyDescent="0.2">
      <c r="A18" s="11">
        <v>42083</v>
      </c>
      <c r="B18" s="13">
        <v>21</v>
      </c>
      <c r="C18" s="1" t="str">
        <f t="shared" si="0"/>
        <v>сыр российский</v>
      </c>
      <c r="D18" s="15" t="s">
        <v>57</v>
      </c>
      <c r="E18" s="13">
        <v>17</v>
      </c>
      <c r="F18" s="1" t="str">
        <f t="shared" si="1"/>
        <v>кг.</v>
      </c>
      <c r="G18" s="15" t="s">
        <v>99</v>
      </c>
      <c r="H18" s="18">
        <v>127.4</v>
      </c>
      <c r="I18" s="32">
        <v>2165.8000000000002</v>
      </c>
    </row>
    <row r="19" spans="1:9" x14ac:dyDescent="0.2">
      <c r="A19" s="11">
        <v>42083</v>
      </c>
      <c r="B19" s="13">
        <v>22</v>
      </c>
      <c r="C19" s="1" t="str">
        <f t="shared" si="0"/>
        <v>сыр голландский</v>
      </c>
      <c r="D19" s="15" t="s">
        <v>57</v>
      </c>
      <c r="E19" s="13">
        <v>27</v>
      </c>
      <c r="F19" s="1" t="str">
        <f t="shared" si="1"/>
        <v>кг.</v>
      </c>
      <c r="G19" s="15" t="s">
        <v>95</v>
      </c>
      <c r="H19" s="18">
        <v>135.20000000000002</v>
      </c>
      <c r="I19" s="32">
        <v>3650.4000000000005</v>
      </c>
    </row>
    <row r="20" spans="1:9" x14ac:dyDescent="0.2">
      <c r="A20" s="11">
        <v>42083</v>
      </c>
      <c r="B20" s="13">
        <v>23</v>
      </c>
      <c r="C20" s="1" t="str">
        <f t="shared" si="0"/>
        <v>сыр колбасный</v>
      </c>
      <c r="D20" s="15" t="s">
        <v>57</v>
      </c>
      <c r="E20" s="13">
        <v>40</v>
      </c>
      <c r="F20" s="1" t="str">
        <f t="shared" si="1"/>
        <v>кг.</v>
      </c>
      <c r="G20" s="15" t="s">
        <v>99</v>
      </c>
      <c r="H20" s="18">
        <v>84.5</v>
      </c>
      <c r="I20" s="32">
        <v>3380</v>
      </c>
    </row>
    <row r="21" spans="1:9" x14ac:dyDescent="0.2">
      <c r="A21" s="11">
        <v>42084</v>
      </c>
      <c r="B21" s="13">
        <v>24</v>
      </c>
      <c r="C21" s="1" t="str">
        <f t="shared" si="0"/>
        <v>сырок плавленный</v>
      </c>
      <c r="D21" s="15" t="s">
        <v>57</v>
      </c>
      <c r="E21" s="13">
        <v>60</v>
      </c>
      <c r="F21" s="1" t="str">
        <f t="shared" si="1"/>
        <v>шт.</v>
      </c>
      <c r="G21" s="15" t="s">
        <v>99</v>
      </c>
      <c r="H21" s="18">
        <v>12.35</v>
      </c>
      <c r="I21" s="32">
        <v>741</v>
      </c>
    </row>
    <row r="22" spans="1:9" x14ac:dyDescent="0.2">
      <c r="A22" s="11">
        <v>42141</v>
      </c>
      <c r="B22" s="13">
        <v>25</v>
      </c>
      <c r="C22" s="1" t="str">
        <f t="shared" si="0"/>
        <v>сырок\курага</v>
      </c>
      <c r="D22" s="15" t="s">
        <v>58</v>
      </c>
      <c r="E22" s="13">
        <v>47</v>
      </c>
      <c r="F22" s="1" t="str">
        <f t="shared" si="1"/>
        <v>шт.</v>
      </c>
      <c r="G22" s="15" t="s">
        <v>101</v>
      </c>
      <c r="H22" s="18">
        <v>7.15</v>
      </c>
      <c r="I22" s="32">
        <v>336.05</v>
      </c>
    </row>
    <row r="23" spans="1:9" x14ac:dyDescent="0.2">
      <c r="A23" s="11">
        <v>42139</v>
      </c>
      <c r="B23" s="13">
        <v>26</v>
      </c>
      <c r="C23" s="1" t="str">
        <f t="shared" si="0"/>
        <v>сырок\изюм</v>
      </c>
      <c r="D23" s="15" t="s">
        <v>58</v>
      </c>
      <c r="E23" s="13">
        <v>28</v>
      </c>
      <c r="F23" s="1" t="str">
        <f t="shared" si="1"/>
        <v>шт.</v>
      </c>
      <c r="G23" s="15" t="s">
        <v>101</v>
      </c>
      <c r="H23" s="18">
        <v>7.15</v>
      </c>
      <c r="I23" s="32">
        <v>200.20000000000002</v>
      </c>
    </row>
    <row r="24" spans="1:9" x14ac:dyDescent="0.2">
      <c r="A24" s="11">
        <v>42139</v>
      </c>
      <c r="B24" s="13">
        <v>27</v>
      </c>
      <c r="C24" s="1" t="str">
        <f t="shared" si="0"/>
        <v>сырок\кокос</v>
      </c>
      <c r="D24" s="15" t="s">
        <v>58</v>
      </c>
      <c r="E24" s="13">
        <v>28</v>
      </c>
      <c r="F24" s="1" t="str">
        <f t="shared" si="1"/>
        <v>шт.</v>
      </c>
      <c r="G24" s="15" t="s">
        <v>109</v>
      </c>
      <c r="H24" s="18">
        <v>7.15</v>
      </c>
      <c r="I24" s="32">
        <v>200.20000000000002</v>
      </c>
    </row>
    <row r="25" spans="1:9" x14ac:dyDescent="0.2">
      <c r="A25" s="11">
        <v>42116</v>
      </c>
      <c r="B25" s="13">
        <v>28</v>
      </c>
      <c r="C25" s="1" t="str">
        <f t="shared" si="0"/>
        <v>молоко</v>
      </c>
      <c r="D25" s="15" t="s">
        <v>57</v>
      </c>
      <c r="E25" s="13">
        <v>200</v>
      </c>
      <c r="F25" s="1" t="str">
        <f t="shared" si="1"/>
        <v>пакет</v>
      </c>
      <c r="G25" s="15" t="s">
        <v>108</v>
      </c>
      <c r="H25" s="18">
        <v>22.1</v>
      </c>
      <c r="I25" s="32">
        <v>4420</v>
      </c>
    </row>
    <row r="26" spans="1:9" x14ac:dyDescent="0.2">
      <c r="A26" s="11">
        <v>42117</v>
      </c>
      <c r="B26" s="13">
        <v>29</v>
      </c>
      <c r="C26" s="1" t="str">
        <f t="shared" si="0"/>
        <v>ряженка</v>
      </c>
      <c r="D26" s="15" t="s">
        <v>58</v>
      </c>
      <c r="E26" s="13">
        <v>54</v>
      </c>
      <c r="F26" s="1" t="str">
        <f t="shared" si="1"/>
        <v>пакет</v>
      </c>
      <c r="G26" s="15" t="s">
        <v>106</v>
      </c>
      <c r="H26" s="18">
        <v>16.900000000000002</v>
      </c>
      <c r="I26" s="32">
        <v>912.60000000000014</v>
      </c>
    </row>
    <row r="27" spans="1:9" x14ac:dyDescent="0.2">
      <c r="A27" s="11">
        <v>42080</v>
      </c>
      <c r="B27" s="13">
        <v>10</v>
      </c>
      <c r="C27" s="1" t="str">
        <f t="shared" si="0"/>
        <v>бифидо кефир</v>
      </c>
      <c r="D27" s="15" t="s">
        <v>58</v>
      </c>
      <c r="E27" s="13">
        <v>25</v>
      </c>
      <c r="F27" s="1" t="str">
        <f t="shared" si="1"/>
        <v>бут.</v>
      </c>
      <c r="G27" s="15" t="s">
        <v>98</v>
      </c>
      <c r="H27" s="18">
        <v>453.31</v>
      </c>
      <c r="I27" s="32">
        <v>11332.75</v>
      </c>
    </row>
    <row r="28" spans="1:9" x14ac:dyDescent="0.2">
      <c r="A28" s="11">
        <v>42114</v>
      </c>
      <c r="B28" s="13">
        <v>12</v>
      </c>
      <c r="C28" s="1" t="str">
        <f t="shared" si="0"/>
        <v xml:space="preserve">йогурт\малина </v>
      </c>
      <c r="D28" s="15" t="s">
        <v>57</v>
      </c>
      <c r="E28" s="13">
        <v>70</v>
      </c>
      <c r="F28" s="1" t="str">
        <f t="shared" si="1"/>
        <v>пакет</v>
      </c>
      <c r="G28" s="15" t="s">
        <v>100</v>
      </c>
      <c r="H28" s="18">
        <v>13</v>
      </c>
      <c r="I28" s="32">
        <v>910</v>
      </c>
    </row>
    <row r="29" spans="1:9" x14ac:dyDescent="0.2">
      <c r="A29" s="11">
        <v>42079</v>
      </c>
      <c r="B29" s="13">
        <v>11</v>
      </c>
      <c r="C29" s="1" t="str">
        <f t="shared" si="0"/>
        <v>кефир фруктовый</v>
      </c>
      <c r="D29" s="15" t="s">
        <v>58</v>
      </c>
      <c r="E29" s="13">
        <v>34</v>
      </c>
      <c r="F29" s="1" t="str">
        <f t="shared" si="1"/>
        <v>бут.</v>
      </c>
      <c r="G29" s="15" t="s">
        <v>67</v>
      </c>
      <c r="H29" s="18">
        <v>70.057000000000002</v>
      </c>
      <c r="I29" s="32">
        <v>2381.9380000000001</v>
      </c>
    </row>
    <row r="30" spans="1:9" x14ac:dyDescent="0.2">
      <c r="A30" s="11">
        <v>42114</v>
      </c>
      <c r="B30" s="13">
        <v>15</v>
      </c>
      <c r="C30" s="1" t="str">
        <f t="shared" si="0"/>
        <v>йогурт\яблоко</v>
      </c>
      <c r="D30" s="15" t="s">
        <v>57</v>
      </c>
      <c r="E30" s="13">
        <v>55</v>
      </c>
      <c r="F30" s="1" t="str">
        <f t="shared" si="1"/>
        <v>пакет</v>
      </c>
      <c r="G30" s="15" t="s">
        <v>100</v>
      </c>
      <c r="H30" s="18">
        <v>13</v>
      </c>
      <c r="I30" s="32">
        <v>715</v>
      </c>
    </row>
    <row r="31" spans="1:9" x14ac:dyDescent="0.2">
      <c r="A31" s="11">
        <v>42114</v>
      </c>
      <c r="B31" s="13">
        <v>14</v>
      </c>
      <c r="C31" s="1" t="str">
        <f t="shared" si="0"/>
        <v>йогурт\смородина</v>
      </c>
      <c r="D31" s="15" t="s">
        <v>57</v>
      </c>
      <c r="E31" s="13">
        <v>55</v>
      </c>
      <c r="F31" s="1" t="str">
        <f t="shared" si="1"/>
        <v>пакет</v>
      </c>
      <c r="G31" s="15" t="s">
        <v>100</v>
      </c>
      <c r="H31" s="18">
        <v>13</v>
      </c>
      <c r="I31" s="32">
        <v>715</v>
      </c>
    </row>
    <row r="32" spans="1:9" x14ac:dyDescent="0.2">
      <c r="A32" s="11">
        <v>42081</v>
      </c>
      <c r="B32" s="13">
        <v>13</v>
      </c>
      <c r="C32" s="1" t="str">
        <f t="shared" si="0"/>
        <v xml:space="preserve">йогурт\клубника </v>
      </c>
      <c r="D32" s="15" t="s">
        <v>58</v>
      </c>
      <c r="E32" s="13">
        <v>45</v>
      </c>
      <c r="F32" s="1" t="str">
        <f t="shared" si="1"/>
        <v>пакет</v>
      </c>
      <c r="G32" s="15" t="s">
        <v>71</v>
      </c>
      <c r="H32" s="18">
        <v>13</v>
      </c>
      <c r="I32" s="32">
        <v>585</v>
      </c>
    </row>
    <row r="33" spans="1:9" x14ac:dyDescent="0.2">
      <c r="A33" s="11">
        <v>42093</v>
      </c>
      <c r="B33" s="13">
        <v>17</v>
      </c>
      <c r="C33" s="1" t="str">
        <f t="shared" si="0"/>
        <v>сметана 1.5</v>
      </c>
      <c r="D33" s="15" t="s">
        <v>57</v>
      </c>
      <c r="E33" s="13">
        <v>65</v>
      </c>
      <c r="F33" s="1" t="str">
        <f t="shared" si="1"/>
        <v>пакет</v>
      </c>
      <c r="G33" s="15" t="s">
        <v>127</v>
      </c>
      <c r="H33" s="18">
        <v>27.3</v>
      </c>
      <c r="I33" s="32">
        <v>1774.5</v>
      </c>
    </row>
    <row r="34" spans="1:9" x14ac:dyDescent="0.2">
      <c r="A34" s="11">
        <v>42093</v>
      </c>
      <c r="B34" s="13">
        <v>18</v>
      </c>
      <c r="C34" s="1" t="str">
        <f t="shared" si="0"/>
        <v>сметана 2.7</v>
      </c>
      <c r="D34" s="15" t="s">
        <v>57</v>
      </c>
      <c r="E34" s="13">
        <v>70</v>
      </c>
      <c r="F34" s="1" t="str">
        <f t="shared" si="1"/>
        <v>пакет</v>
      </c>
      <c r="G34" s="15" t="s">
        <v>127</v>
      </c>
      <c r="H34" s="18">
        <v>35.1</v>
      </c>
      <c r="I34" s="32">
        <v>2457</v>
      </c>
    </row>
    <row r="35" spans="1:9" x14ac:dyDescent="0.2">
      <c r="A35" s="11">
        <v>42107</v>
      </c>
      <c r="B35" s="13">
        <v>19</v>
      </c>
      <c r="C35" s="1" t="str">
        <f t="shared" si="0"/>
        <v>творог</v>
      </c>
      <c r="D35" s="15" t="s">
        <v>58</v>
      </c>
      <c r="E35" s="13">
        <v>7</v>
      </c>
      <c r="F35" s="1" t="str">
        <f t="shared" si="1"/>
        <v>кг.</v>
      </c>
      <c r="G35" s="15" t="s">
        <v>109</v>
      </c>
      <c r="H35" s="18">
        <v>58.5</v>
      </c>
      <c r="I35" s="32">
        <v>409.5</v>
      </c>
    </row>
    <row r="36" spans="1:9" x14ac:dyDescent="0.2">
      <c r="A36" s="11">
        <v>42125</v>
      </c>
      <c r="B36" s="13">
        <v>20</v>
      </c>
      <c r="C36" s="1" t="str">
        <f t="shared" si="0"/>
        <v>творожная масса</v>
      </c>
      <c r="D36" s="15" t="s">
        <v>57</v>
      </c>
      <c r="E36" s="13">
        <v>17</v>
      </c>
      <c r="F36" s="1" t="str">
        <f t="shared" si="1"/>
        <v>кг.</v>
      </c>
      <c r="G36" s="15" t="s">
        <v>102</v>
      </c>
      <c r="H36" s="18">
        <v>65</v>
      </c>
      <c r="I36" s="32">
        <v>1105</v>
      </c>
    </row>
    <row r="37" spans="1:9" x14ac:dyDescent="0.2">
      <c r="A37" s="11">
        <v>42108</v>
      </c>
      <c r="B37" s="13">
        <v>22</v>
      </c>
      <c r="C37" s="1" t="str">
        <f t="shared" si="0"/>
        <v>сыр голландский</v>
      </c>
      <c r="D37" s="15" t="s">
        <v>58</v>
      </c>
      <c r="E37" s="13">
        <v>24</v>
      </c>
      <c r="F37" s="1" t="str">
        <f t="shared" si="1"/>
        <v>кг.</v>
      </c>
      <c r="G37" s="15" t="s">
        <v>71</v>
      </c>
      <c r="H37" s="18">
        <v>135.20000000000002</v>
      </c>
      <c r="I37" s="32">
        <v>3244.8</v>
      </c>
    </row>
    <row r="38" spans="1:9" x14ac:dyDescent="0.2">
      <c r="A38" s="11">
        <v>42131</v>
      </c>
      <c r="B38" s="13">
        <v>25</v>
      </c>
      <c r="C38" s="1" t="str">
        <f t="shared" si="0"/>
        <v>сырок\курага</v>
      </c>
      <c r="D38" s="15" t="s">
        <v>57</v>
      </c>
      <c r="E38" s="13">
        <v>50</v>
      </c>
      <c r="F38" s="1" t="str">
        <f t="shared" si="1"/>
        <v>шт.</v>
      </c>
      <c r="G38" s="15" t="s">
        <v>104</v>
      </c>
      <c r="H38" s="18">
        <v>7.15</v>
      </c>
      <c r="I38" s="32">
        <v>357.5</v>
      </c>
    </row>
    <row r="39" spans="1:9" x14ac:dyDescent="0.2">
      <c r="A39" s="11">
        <v>42139</v>
      </c>
      <c r="B39" s="13">
        <v>24</v>
      </c>
      <c r="C39" s="1" t="str">
        <f t="shared" ref="C39:C53" si="2">VLOOKUP(B39,товар,2,0)</f>
        <v>сырок плавленный</v>
      </c>
      <c r="D39" s="15" t="s">
        <v>57</v>
      </c>
      <c r="E39" s="13">
        <v>50</v>
      </c>
      <c r="F39" s="1" t="str">
        <f t="shared" ref="F39:F53" si="3">VLOOKUP(B39,товар,3,0)</f>
        <v>шт.</v>
      </c>
      <c r="G39" s="15" t="s">
        <v>99</v>
      </c>
      <c r="H39" s="18">
        <v>12.35</v>
      </c>
      <c r="I39" s="32">
        <v>617.5</v>
      </c>
    </row>
    <row r="40" spans="1:9" x14ac:dyDescent="0.2">
      <c r="A40" s="11">
        <v>42115</v>
      </c>
      <c r="B40" s="13">
        <v>29</v>
      </c>
      <c r="C40" s="1" t="str">
        <f t="shared" si="2"/>
        <v>ряженка</v>
      </c>
      <c r="D40" s="15" t="s">
        <v>57</v>
      </c>
      <c r="E40" s="13">
        <v>55</v>
      </c>
      <c r="F40" s="1" t="str">
        <f t="shared" si="3"/>
        <v>пакет</v>
      </c>
      <c r="G40" s="15" t="s">
        <v>63</v>
      </c>
      <c r="H40" s="18">
        <v>16.900000000000002</v>
      </c>
      <c r="I40" s="32">
        <v>929.50000000000011</v>
      </c>
    </row>
    <row r="41" spans="1:9" x14ac:dyDescent="0.2">
      <c r="A41" s="11">
        <v>42118</v>
      </c>
      <c r="B41" s="13">
        <v>28</v>
      </c>
      <c r="C41" s="1" t="str">
        <f t="shared" si="2"/>
        <v>молоко</v>
      </c>
      <c r="D41" s="15" t="s">
        <v>58</v>
      </c>
      <c r="E41" s="13">
        <v>200</v>
      </c>
      <c r="F41" s="1" t="str">
        <f t="shared" si="3"/>
        <v>пакет</v>
      </c>
      <c r="G41" s="15" t="s">
        <v>98</v>
      </c>
      <c r="H41" s="18">
        <v>22.1</v>
      </c>
      <c r="I41" s="32">
        <v>4420</v>
      </c>
    </row>
    <row r="42" spans="1:9" x14ac:dyDescent="0.2">
      <c r="A42" s="11">
        <v>42131</v>
      </c>
      <c r="B42" s="13">
        <v>27</v>
      </c>
      <c r="C42" s="1" t="str">
        <f t="shared" si="2"/>
        <v>сырок\кокос</v>
      </c>
      <c r="D42" s="15" t="s">
        <v>57</v>
      </c>
      <c r="E42" s="13">
        <v>30</v>
      </c>
      <c r="F42" s="1" t="str">
        <f t="shared" si="3"/>
        <v>шт.</v>
      </c>
      <c r="G42" s="15" t="s">
        <v>104</v>
      </c>
      <c r="H42" s="18">
        <v>7.15</v>
      </c>
      <c r="I42" s="32">
        <v>214.5</v>
      </c>
    </row>
    <row r="43" spans="1:9" x14ac:dyDescent="0.2">
      <c r="A43" s="11">
        <v>42131</v>
      </c>
      <c r="B43" s="13">
        <v>26</v>
      </c>
      <c r="C43" s="1" t="str">
        <f t="shared" si="2"/>
        <v>сырок\изюм</v>
      </c>
      <c r="D43" s="15" t="s">
        <v>57</v>
      </c>
      <c r="E43" s="13">
        <v>30</v>
      </c>
      <c r="F43" s="1" t="str">
        <f t="shared" si="3"/>
        <v>шт.</v>
      </c>
      <c r="G43" s="15" t="s">
        <v>104</v>
      </c>
      <c r="H43" s="18">
        <v>7.15</v>
      </c>
      <c r="I43" s="32">
        <v>214.5</v>
      </c>
    </row>
    <row r="44" spans="1:9" x14ac:dyDescent="0.2">
      <c r="A44" s="11">
        <v>42083</v>
      </c>
      <c r="B44" s="13">
        <v>11</v>
      </c>
      <c r="C44" s="1" t="str">
        <f t="shared" si="2"/>
        <v>кефир фруктовый</v>
      </c>
      <c r="D44" s="15" t="s">
        <v>58</v>
      </c>
      <c r="E44" s="13">
        <v>11</v>
      </c>
      <c r="F44" s="1" t="str">
        <f t="shared" si="3"/>
        <v>бут.</v>
      </c>
      <c r="G44" s="15" t="s">
        <v>103</v>
      </c>
      <c r="H44" s="18">
        <v>70.057000000000002</v>
      </c>
      <c r="I44" s="32">
        <v>770.62700000000007</v>
      </c>
    </row>
    <row r="45" spans="1:9" x14ac:dyDescent="0.2">
      <c r="A45" s="11">
        <v>42107</v>
      </c>
      <c r="B45" s="13">
        <v>16</v>
      </c>
      <c r="C45" s="1" t="str">
        <f t="shared" si="2"/>
        <v>сметана 0.3</v>
      </c>
      <c r="D45" s="15" t="s">
        <v>57</v>
      </c>
      <c r="E45" s="13">
        <v>20</v>
      </c>
      <c r="F45" s="1" t="str">
        <f t="shared" si="3"/>
        <v>пакет</v>
      </c>
      <c r="G45" s="15" t="s">
        <v>127</v>
      </c>
      <c r="H45" s="18">
        <v>23.400000000000002</v>
      </c>
      <c r="I45" s="32">
        <v>468.00000000000006</v>
      </c>
    </row>
    <row r="46" spans="1:9" x14ac:dyDescent="0.2">
      <c r="A46" s="11">
        <v>42119</v>
      </c>
      <c r="B46" s="13">
        <v>14</v>
      </c>
      <c r="C46" s="1" t="str">
        <f t="shared" si="2"/>
        <v>йогурт\смородина</v>
      </c>
      <c r="D46" s="15" t="s">
        <v>58</v>
      </c>
      <c r="E46" s="13">
        <v>100</v>
      </c>
      <c r="F46" s="1" t="str">
        <f t="shared" si="3"/>
        <v>пакет</v>
      </c>
      <c r="G46" s="15" t="s">
        <v>106</v>
      </c>
      <c r="H46" s="18">
        <v>13</v>
      </c>
      <c r="I46" s="32">
        <v>1300</v>
      </c>
    </row>
    <row r="47" spans="1:9" x14ac:dyDescent="0.2">
      <c r="A47" s="11">
        <v>42123</v>
      </c>
      <c r="B47" s="13">
        <v>19</v>
      </c>
      <c r="C47" s="1" t="str">
        <f t="shared" si="2"/>
        <v>творог</v>
      </c>
      <c r="D47" s="15" t="s">
        <v>57</v>
      </c>
      <c r="E47" s="13">
        <v>12</v>
      </c>
      <c r="F47" s="1" t="str">
        <f t="shared" si="3"/>
        <v>кг.</v>
      </c>
      <c r="G47" s="15" t="s">
        <v>102</v>
      </c>
      <c r="H47" s="18">
        <v>58.5</v>
      </c>
      <c r="I47" s="32">
        <v>702</v>
      </c>
    </row>
    <row r="48" spans="1:9" x14ac:dyDescent="0.2">
      <c r="A48" s="11">
        <v>42095</v>
      </c>
      <c r="B48" s="13">
        <v>17</v>
      </c>
      <c r="C48" s="1" t="str">
        <f t="shared" si="2"/>
        <v>сметана 1.5</v>
      </c>
      <c r="D48" s="15" t="s">
        <v>58</v>
      </c>
      <c r="E48" s="13">
        <v>63</v>
      </c>
      <c r="F48" s="1" t="str">
        <f t="shared" si="3"/>
        <v>пакет</v>
      </c>
      <c r="G48" s="15" t="s">
        <v>67</v>
      </c>
      <c r="H48" s="18">
        <v>27.3</v>
      </c>
      <c r="I48" s="32">
        <v>1719.9</v>
      </c>
    </row>
    <row r="49" spans="1:9" x14ac:dyDescent="0.2">
      <c r="A49" s="11">
        <v>42121</v>
      </c>
      <c r="B49" s="13">
        <v>28</v>
      </c>
      <c r="C49" s="1" t="str">
        <f t="shared" si="2"/>
        <v>молоко</v>
      </c>
      <c r="D49" s="15" t="s">
        <v>57</v>
      </c>
      <c r="E49" s="13">
        <v>250</v>
      </c>
      <c r="F49" s="1" t="str">
        <f t="shared" si="3"/>
        <v>пакет</v>
      </c>
      <c r="G49" s="15" t="s">
        <v>108</v>
      </c>
      <c r="H49" s="18">
        <v>22.1</v>
      </c>
      <c r="I49" s="32">
        <v>5525</v>
      </c>
    </row>
    <row r="50" spans="1:9" x14ac:dyDescent="0.2">
      <c r="A50" s="11">
        <v>42149</v>
      </c>
      <c r="B50" s="13">
        <v>52</v>
      </c>
      <c r="C50" s="1" t="str">
        <f t="shared" si="2"/>
        <v>снежок</v>
      </c>
      <c r="D50" s="15" t="s">
        <v>57</v>
      </c>
      <c r="E50" s="13">
        <v>65</v>
      </c>
      <c r="F50" s="1" t="str">
        <f t="shared" si="3"/>
        <v>пакет</v>
      </c>
      <c r="G50" s="15" t="s">
        <v>108</v>
      </c>
      <c r="H50" s="18">
        <v>14.950000000000001</v>
      </c>
      <c r="I50" s="32">
        <v>971.75000000000011</v>
      </c>
    </row>
    <row r="51" spans="1:9" x14ac:dyDescent="0.2">
      <c r="A51" s="11">
        <v>42110</v>
      </c>
      <c r="B51" s="13">
        <v>35</v>
      </c>
      <c r="C51" s="1" t="str">
        <f t="shared" si="2"/>
        <v>варенец</v>
      </c>
      <c r="D51" s="15" t="s">
        <v>57</v>
      </c>
      <c r="E51" s="13">
        <v>65</v>
      </c>
      <c r="F51" s="1" t="str">
        <f t="shared" si="3"/>
        <v>пакет</v>
      </c>
      <c r="G51" s="15" t="s">
        <v>108</v>
      </c>
      <c r="H51" s="18">
        <v>16.25</v>
      </c>
      <c r="I51" s="32">
        <v>1056.25</v>
      </c>
    </row>
    <row r="52" spans="1:9" x14ac:dyDescent="0.2">
      <c r="A52" s="11">
        <v>42141</v>
      </c>
      <c r="B52" s="13">
        <v>90</v>
      </c>
      <c r="C52" s="1" t="str">
        <f t="shared" si="2"/>
        <v>сливки 2.0</v>
      </c>
      <c r="D52" s="15" t="s">
        <v>57</v>
      </c>
      <c r="E52" s="13">
        <v>40</v>
      </c>
      <c r="F52" s="1" t="str">
        <f t="shared" si="3"/>
        <v>пакет</v>
      </c>
      <c r="G52" s="15" t="s">
        <v>108</v>
      </c>
      <c r="H52" s="18">
        <v>9.1</v>
      </c>
      <c r="I52" s="32">
        <v>364</v>
      </c>
    </row>
    <row r="53" spans="1:9" ht="13.5" thickBot="1" x14ac:dyDescent="0.25">
      <c r="A53" s="12">
        <v>42097</v>
      </c>
      <c r="B53" s="14">
        <v>18</v>
      </c>
      <c r="C53" s="1" t="str">
        <f t="shared" si="2"/>
        <v>сметана 2.7</v>
      </c>
      <c r="D53" s="16" t="s">
        <v>57</v>
      </c>
      <c r="E53" s="14">
        <v>35</v>
      </c>
      <c r="F53" s="1" t="str">
        <f t="shared" si="3"/>
        <v>пакет</v>
      </c>
      <c r="G53" s="16" t="s">
        <v>127</v>
      </c>
      <c r="H53" s="18">
        <v>35.1</v>
      </c>
      <c r="I53" s="33">
        <v>1228.5</v>
      </c>
    </row>
  </sheetData>
  <mergeCells count="10">
    <mergeCell ref="C2:E3"/>
    <mergeCell ref="E5:E6"/>
    <mergeCell ref="F5:F6"/>
    <mergeCell ref="G5:G6"/>
    <mergeCell ref="H5:H6"/>
    <mergeCell ref="A5:A6"/>
    <mergeCell ref="B5:B6"/>
    <mergeCell ref="C5:C6"/>
    <mergeCell ref="D5:D6"/>
    <mergeCell ref="I5:I6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ena1">
                <anchor moveWithCells="1" sizeWithCells="1">
                  <from>
                    <xdr:col>11</xdr:col>
                    <xdr:colOff>276225</xdr:colOff>
                    <xdr:row>0</xdr:row>
                    <xdr:rowOff>57150</xdr:rowOff>
                  </from>
                  <to>
                    <xdr:col>14</xdr:col>
                    <xdr:colOff>323850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5:F28"/>
  <sheetViews>
    <sheetView workbookViewId="0">
      <selection activeCell="F29" sqref="F29"/>
    </sheetView>
  </sheetViews>
  <sheetFormatPr defaultRowHeight="12.75" x14ac:dyDescent="0.2"/>
  <cols>
    <col min="1" max="1" width="12.5703125" customWidth="1"/>
    <col min="2" max="2" width="17.42578125" customWidth="1"/>
    <col min="3" max="3" width="18.28515625" customWidth="1"/>
    <col min="4" max="4" width="12.42578125" bestFit="1" customWidth="1"/>
    <col min="5" max="5" width="12.85546875" customWidth="1"/>
    <col min="6" max="6" width="16.85546875" customWidth="1"/>
  </cols>
  <sheetData>
    <row r="5" spans="2:6" x14ac:dyDescent="0.2">
      <c r="C5" s="49" t="s">
        <v>132</v>
      </c>
      <c r="D5" s="49"/>
      <c r="E5" s="49"/>
    </row>
    <row r="6" spans="2:6" x14ac:dyDescent="0.2">
      <c r="C6" s="49"/>
      <c r="D6" s="49"/>
      <c r="E6" s="49"/>
    </row>
    <row r="7" spans="2:6" ht="13.5" thickBot="1" x14ac:dyDescent="0.25"/>
    <row r="8" spans="2:6" x14ac:dyDescent="0.2">
      <c r="B8" s="37" t="s">
        <v>54</v>
      </c>
      <c r="C8" s="37" t="s">
        <v>59</v>
      </c>
      <c r="D8" s="37" t="s">
        <v>60</v>
      </c>
      <c r="E8" s="37" t="s">
        <v>61</v>
      </c>
      <c r="F8" s="37" t="s">
        <v>62</v>
      </c>
    </row>
    <row r="9" spans="2:6" x14ac:dyDescent="0.2">
      <c r="B9" s="21" t="s">
        <v>63</v>
      </c>
      <c r="C9" s="15" t="s">
        <v>64</v>
      </c>
      <c r="D9" s="13" t="s">
        <v>65</v>
      </c>
      <c r="E9" s="13">
        <v>17465837561</v>
      </c>
      <c r="F9" s="23" t="s">
        <v>66</v>
      </c>
    </row>
    <row r="10" spans="2:6" x14ac:dyDescent="0.2">
      <c r="B10" s="21" t="s">
        <v>67</v>
      </c>
      <c r="C10" s="15" t="s">
        <v>68</v>
      </c>
      <c r="D10" s="13" t="s">
        <v>69</v>
      </c>
      <c r="E10" s="13">
        <v>37568673057</v>
      </c>
      <c r="F10" s="23" t="s">
        <v>70</v>
      </c>
    </row>
    <row r="11" spans="2:6" x14ac:dyDescent="0.2">
      <c r="B11" s="21" t="s">
        <v>71</v>
      </c>
      <c r="C11" s="15" t="s">
        <v>72</v>
      </c>
      <c r="D11" s="13" t="s">
        <v>73</v>
      </c>
      <c r="E11" s="13">
        <v>12322144657</v>
      </c>
      <c r="F11" s="23" t="s">
        <v>137</v>
      </c>
    </row>
    <row r="12" spans="2:6" x14ac:dyDescent="0.2">
      <c r="B12" s="21" t="s">
        <v>109</v>
      </c>
      <c r="C12" s="15" t="s">
        <v>110</v>
      </c>
      <c r="D12" s="13" t="s">
        <v>77</v>
      </c>
      <c r="E12" s="13">
        <v>19057354765</v>
      </c>
      <c r="F12" s="23" t="s">
        <v>74</v>
      </c>
    </row>
    <row r="13" spans="2:6" x14ac:dyDescent="0.2">
      <c r="B13" s="21" t="s">
        <v>108</v>
      </c>
      <c r="C13" s="15" t="s">
        <v>111</v>
      </c>
      <c r="D13" s="13" t="s">
        <v>78</v>
      </c>
      <c r="E13" s="13">
        <v>67583928278</v>
      </c>
      <c r="F13" s="23" t="s">
        <v>138</v>
      </c>
    </row>
    <row r="14" spans="2:6" x14ac:dyDescent="0.2">
      <c r="B14" s="21" t="s">
        <v>94</v>
      </c>
      <c r="C14" s="15" t="s">
        <v>112</v>
      </c>
      <c r="D14" s="13" t="s">
        <v>79</v>
      </c>
      <c r="E14" s="13">
        <v>12376623666</v>
      </c>
      <c r="F14" s="23" t="s">
        <v>139</v>
      </c>
    </row>
    <row r="15" spans="2:6" x14ac:dyDescent="0.2">
      <c r="B15" s="21" t="s">
        <v>95</v>
      </c>
      <c r="C15" s="15" t="s">
        <v>113</v>
      </c>
      <c r="D15" s="13" t="s">
        <v>80</v>
      </c>
      <c r="E15" s="13">
        <v>12678903456</v>
      </c>
      <c r="F15" s="23" t="s">
        <v>140</v>
      </c>
    </row>
    <row r="16" spans="2:6" x14ac:dyDescent="0.2">
      <c r="B16" s="21" t="s">
        <v>96</v>
      </c>
      <c r="C16" s="15" t="s">
        <v>114</v>
      </c>
      <c r="D16" s="13" t="s">
        <v>81</v>
      </c>
      <c r="E16" s="13">
        <v>12378945678</v>
      </c>
      <c r="F16" s="23" t="s">
        <v>141</v>
      </c>
    </row>
    <row r="17" spans="2:6" x14ac:dyDescent="0.2">
      <c r="B17" s="21" t="s">
        <v>97</v>
      </c>
      <c r="C17" s="15" t="s">
        <v>115</v>
      </c>
      <c r="D17" s="13" t="s">
        <v>82</v>
      </c>
      <c r="E17" s="13">
        <v>25364758699</v>
      </c>
      <c r="F17" s="23" t="s">
        <v>142</v>
      </c>
    </row>
    <row r="18" spans="2:6" x14ac:dyDescent="0.2">
      <c r="B18" s="21" t="s">
        <v>98</v>
      </c>
      <c r="C18" s="15" t="s">
        <v>116</v>
      </c>
      <c r="D18" s="13" t="s">
        <v>83</v>
      </c>
      <c r="E18" s="13">
        <v>12980695843</v>
      </c>
      <c r="F18" s="23" t="s">
        <v>143</v>
      </c>
    </row>
    <row r="19" spans="2:6" x14ac:dyDescent="0.2">
      <c r="B19" s="21" t="s">
        <v>99</v>
      </c>
      <c r="C19" s="15" t="s">
        <v>117</v>
      </c>
      <c r="D19" s="13" t="s">
        <v>84</v>
      </c>
      <c r="E19" s="13">
        <v>23343343434</v>
      </c>
      <c r="F19" s="23" t="s">
        <v>75</v>
      </c>
    </row>
    <row r="20" spans="2:6" x14ac:dyDescent="0.2">
      <c r="B20" s="21" t="s">
        <v>127</v>
      </c>
      <c r="C20" s="15" t="s">
        <v>118</v>
      </c>
      <c r="D20" s="13" t="s">
        <v>85</v>
      </c>
      <c r="E20" s="13">
        <v>34343434343</v>
      </c>
      <c r="F20" s="23" t="s">
        <v>144</v>
      </c>
    </row>
    <row r="21" spans="2:6" x14ac:dyDescent="0.2">
      <c r="B21" s="21" t="s">
        <v>100</v>
      </c>
      <c r="C21" s="15" t="s">
        <v>119</v>
      </c>
      <c r="D21" s="13" t="s">
        <v>86</v>
      </c>
      <c r="E21" s="13">
        <v>56565656565</v>
      </c>
      <c r="F21" s="23" t="s">
        <v>145</v>
      </c>
    </row>
    <row r="22" spans="2:6" x14ac:dyDescent="0.2">
      <c r="B22" s="21" t="s">
        <v>101</v>
      </c>
      <c r="C22" s="15" t="s">
        <v>120</v>
      </c>
      <c r="D22" s="13" t="s">
        <v>87</v>
      </c>
      <c r="E22" s="13">
        <v>87878787878</v>
      </c>
      <c r="F22" s="23" t="s">
        <v>146</v>
      </c>
    </row>
    <row r="23" spans="2:6" x14ac:dyDescent="0.2">
      <c r="B23" s="21" t="s">
        <v>107</v>
      </c>
      <c r="C23" s="15" t="s">
        <v>121</v>
      </c>
      <c r="D23" s="13" t="s">
        <v>88</v>
      </c>
      <c r="E23" s="13">
        <v>49494939393</v>
      </c>
      <c r="F23" s="23" t="s">
        <v>147</v>
      </c>
    </row>
    <row r="24" spans="2:6" x14ac:dyDescent="0.2">
      <c r="B24" s="21" t="s">
        <v>102</v>
      </c>
      <c r="C24" s="15" t="s">
        <v>122</v>
      </c>
      <c r="D24" s="13" t="s">
        <v>89</v>
      </c>
      <c r="E24" s="13">
        <v>93949596976</v>
      </c>
      <c r="F24" s="23" t="s">
        <v>76</v>
      </c>
    </row>
    <row r="25" spans="2:6" x14ac:dyDescent="0.2">
      <c r="B25" s="21" t="s">
        <v>106</v>
      </c>
      <c r="C25" s="15" t="s">
        <v>123</v>
      </c>
      <c r="D25" s="13" t="s">
        <v>90</v>
      </c>
      <c r="E25" s="13">
        <v>19293949596</v>
      </c>
      <c r="F25" s="23" t="s">
        <v>148</v>
      </c>
    </row>
    <row r="26" spans="2:6" x14ac:dyDescent="0.2">
      <c r="B26" s="21" t="s">
        <v>103</v>
      </c>
      <c r="C26" s="15" t="s">
        <v>124</v>
      </c>
      <c r="D26" s="13" t="s">
        <v>91</v>
      </c>
      <c r="E26" s="13">
        <v>57463521435</v>
      </c>
      <c r="F26" s="23" t="s">
        <v>149</v>
      </c>
    </row>
    <row r="27" spans="2:6" x14ac:dyDescent="0.2">
      <c r="B27" s="21" t="s">
        <v>104</v>
      </c>
      <c r="C27" s="15" t="s">
        <v>125</v>
      </c>
      <c r="D27" s="13" t="s">
        <v>92</v>
      </c>
      <c r="E27" s="13">
        <v>12377958576</v>
      </c>
      <c r="F27" s="23" t="s">
        <v>150</v>
      </c>
    </row>
    <row r="28" spans="2:6" ht="13.5" thickBot="1" x14ac:dyDescent="0.25">
      <c r="B28" s="22" t="s">
        <v>105</v>
      </c>
      <c r="C28" s="16" t="s">
        <v>126</v>
      </c>
      <c r="D28" s="14" t="s">
        <v>93</v>
      </c>
      <c r="E28" s="14">
        <v>57576868474</v>
      </c>
      <c r="F28" s="24" t="s">
        <v>151</v>
      </c>
    </row>
  </sheetData>
  <mergeCells count="1">
    <mergeCell ref="C5:E6"/>
  </mergeCells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G51"/>
  <sheetViews>
    <sheetView workbookViewId="0">
      <selection activeCell="C3" sqref="C3"/>
    </sheetView>
  </sheetViews>
  <sheetFormatPr defaultRowHeight="12.75" x14ac:dyDescent="0.2"/>
  <cols>
    <col min="2" max="2" width="9.5703125" bestFit="1" customWidth="1"/>
    <col min="3" max="3" width="12.28515625" customWidth="1"/>
  </cols>
  <sheetData>
    <row r="1" spans="3:7" ht="15.75" x14ac:dyDescent="0.25">
      <c r="C1" s="50" t="s">
        <v>135</v>
      </c>
      <c r="D1" s="50"/>
      <c r="E1" s="4"/>
    </row>
    <row r="2" spans="3:7" ht="13.5" thickBot="1" x14ac:dyDescent="0.25">
      <c r="D2" s="4"/>
      <c r="F2" s="4"/>
    </row>
    <row r="3" spans="3:7" x14ac:dyDescent="0.2">
      <c r="C3" s="37" t="s">
        <v>38</v>
      </c>
      <c r="D3" s="37" t="s">
        <v>39</v>
      </c>
      <c r="E3" s="4"/>
      <c r="F3" s="27"/>
      <c r="G3" s="27"/>
    </row>
    <row r="4" spans="3:7" x14ac:dyDescent="0.2">
      <c r="C4" s="11">
        <v>42075</v>
      </c>
      <c r="D4" s="6">
        <v>32.6</v>
      </c>
      <c r="E4" s="4"/>
    </row>
    <row r="5" spans="3:7" x14ac:dyDescent="0.2">
      <c r="C5" s="11">
        <v>42077</v>
      </c>
      <c r="D5" s="6">
        <v>32.4</v>
      </c>
      <c r="E5" s="4"/>
    </row>
    <row r="6" spans="3:7" x14ac:dyDescent="0.2">
      <c r="C6" s="11">
        <v>42079</v>
      </c>
      <c r="D6" s="6">
        <v>32.4</v>
      </c>
      <c r="E6" s="4"/>
    </row>
    <row r="7" spans="3:7" x14ac:dyDescent="0.2">
      <c r="C7" s="11">
        <v>42080</v>
      </c>
      <c r="D7" s="6">
        <v>32.299999999999997</v>
      </c>
      <c r="E7" s="4"/>
    </row>
    <row r="8" spans="3:7" x14ac:dyDescent="0.2">
      <c r="C8" s="11">
        <v>42081</v>
      </c>
      <c r="D8" s="6">
        <v>32.1</v>
      </c>
      <c r="E8" s="4"/>
    </row>
    <row r="9" spans="3:7" x14ac:dyDescent="0.2">
      <c r="C9" s="11">
        <v>42082</v>
      </c>
      <c r="D9" s="6">
        <v>32</v>
      </c>
      <c r="E9" s="4"/>
    </row>
    <row r="10" spans="3:7" x14ac:dyDescent="0.2">
      <c r="C10" s="11">
        <v>42083</v>
      </c>
      <c r="D10" s="6">
        <v>32</v>
      </c>
      <c r="E10" s="4"/>
    </row>
    <row r="11" spans="3:7" x14ac:dyDescent="0.2">
      <c r="C11" s="11">
        <v>42084</v>
      </c>
      <c r="D11" s="6">
        <v>31.98</v>
      </c>
      <c r="E11" s="4"/>
    </row>
    <row r="12" spans="3:7" x14ac:dyDescent="0.2">
      <c r="C12" s="11">
        <v>42093</v>
      </c>
      <c r="D12" s="6">
        <v>31.97</v>
      </c>
      <c r="E12" s="4"/>
    </row>
    <row r="13" spans="3:7" x14ac:dyDescent="0.2">
      <c r="C13" s="11">
        <v>42095</v>
      </c>
      <c r="D13" s="6">
        <v>31.963000000000001</v>
      </c>
      <c r="E13" s="4"/>
    </row>
    <row r="14" spans="3:7" x14ac:dyDescent="0.2">
      <c r="C14" s="11">
        <v>42097</v>
      </c>
      <c r="D14" s="6">
        <v>31.96</v>
      </c>
      <c r="E14" s="4"/>
    </row>
    <row r="15" spans="3:7" x14ac:dyDescent="0.2">
      <c r="C15" s="11">
        <v>42103</v>
      </c>
      <c r="D15" s="6">
        <v>31.954000000000001</v>
      </c>
      <c r="E15" s="4"/>
    </row>
    <row r="16" spans="3:7" x14ac:dyDescent="0.2">
      <c r="C16" s="11">
        <v>42105</v>
      </c>
      <c r="D16" s="6">
        <v>31.95</v>
      </c>
      <c r="E16" s="4"/>
    </row>
    <row r="17" spans="3:5" x14ac:dyDescent="0.2">
      <c r="C17" s="11">
        <v>42107</v>
      </c>
      <c r="D17" s="6">
        <v>31.943000000000001</v>
      </c>
      <c r="E17" s="4"/>
    </row>
    <row r="18" spans="3:5" x14ac:dyDescent="0.2">
      <c r="C18" s="11">
        <v>42108</v>
      </c>
      <c r="D18" s="6">
        <v>31.945</v>
      </c>
      <c r="E18" s="4"/>
    </row>
    <row r="19" spans="3:5" x14ac:dyDescent="0.2">
      <c r="C19" s="11">
        <v>42109</v>
      </c>
      <c r="D19" s="6">
        <v>31.94</v>
      </c>
      <c r="E19" s="4"/>
    </row>
    <row r="20" spans="3:5" x14ac:dyDescent="0.2">
      <c r="C20" s="11">
        <v>42110</v>
      </c>
      <c r="D20" s="6">
        <v>31.92</v>
      </c>
    </row>
    <row r="21" spans="3:5" x14ac:dyDescent="0.2">
      <c r="C21" s="11">
        <v>42114</v>
      </c>
      <c r="D21" s="6">
        <v>31.911999999999999</v>
      </c>
    </row>
    <row r="22" spans="3:5" x14ac:dyDescent="0.2">
      <c r="C22" s="11">
        <v>42115</v>
      </c>
      <c r="D22" s="6">
        <v>31.911000000000001</v>
      </c>
    </row>
    <row r="23" spans="3:5" x14ac:dyDescent="0.2">
      <c r="C23" s="11">
        <v>42116</v>
      </c>
      <c r="D23" s="6">
        <v>31.89</v>
      </c>
    </row>
    <row r="24" spans="3:5" x14ac:dyDescent="0.2">
      <c r="C24" s="11">
        <v>42117</v>
      </c>
      <c r="D24" s="6">
        <v>31.84</v>
      </c>
    </row>
    <row r="25" spans="3:5" x14ac:dyDescent="0.2">
      <c r="C25" s="11">
        <v>42118</v>
      </c>
      <c r="D25" s="6">
        <v>31.87</v>
      </c>
    </row>
    <row r="26" spans="3:5" x14ac:dyDescent="0.2">
      <c r="C26" s="11">
        <v>42119</v>
      </c>
      <c r="D26" s="6">
        <v>31.83</v>
      </c>
    </row>
    <row r="27" spans="3:5" x14ac:dyDescent="0.2">
      <c r="C27" s="11">
        <v>42121</v>
      </c>
      <c r="D27" s="6">
        <v>31.8</v>
      </c>
    </row>
    <row r="28" spans="3:5" x14ac:dyDescent="0.2">
      <c r="C28" s="11">
        <v>42123</v>
      </c>
      <c r="D28" s="6">
        <v>31.8</v>
      </c>
    </row>
    <row r="29" spans="3:5" x14ac:dyDescent="0.2">
      <c r="C29" s="11">
        <v>42125</v>
      </c>
      <c r="D29" s="6">
        <v>31.79</v>
      </c>
    </row>
    <row r="30" spans="3:5" x14ac:dyDescent="0.2">
      <c r="C30" s="11">
        <v>42126</v>
      </c>
      <c r="D30" s="6">
        <v>31.76</v>
      </c>
    </row>
    <row r="31" spans="3:5" x14ac:dyDescent="0.2">
      <c r="C31" s="11">
        <v>42131</v>
      </c>
      <c r="D31" s="6">
        <v>31.73</v>
      </c>
    </row>
    <row r="32" spans="3:5" x14ac:dyDescent="0.2">
      <c r="C32" s="11">
        <v>42139</v>
      </c>
      <c r="D32" s="6">
        <v>31.7</v>
      </c>
    </row>
    <row r="33" spans="1:4" x14ac:dyDescent="0.2">
      <c r="C33" s="11">
        <v>42140</v>
      </c>
      <c r="D33" s="6">
        <v>31.6</v>
      </c>
    </row>
    <row r="34" spans="1:4" x14ac:dyDescent="0.2">
      <c r="B34" s="5"/>
      <c r="C34" s="11">
        <v>42141</v>
      </c>
      <c r="D34" s="6">
        <v>31.56</v>
      </c>
    </row>
    <row r="35" spans="1:4" ht="13.5" thickBot="1" x14ac:dyDescent="0.25">
      <c r="A35" s="4"/>
      <c r="B35" s="5"/>
      <c r="C35" s="12">
        <v>42149</v>
      </c>
      <c r="D35" s="7">
        <v>31.5</v>
      </c>
    </row>
    <row r="36" spans="1:4" x14ac:dyDescent="0.2">
      <c r="A36" s="4"/>
      <c r="B36" s="5"/>
    </row>
    <row r="37" spans="1:4" x14ac:dyDescent="0.2">
      <c r="B37" s="5"/>
    </row>
    <row r="38" spans="1:4" x14ac:dyDescent="0.2">
      <c r="B38" s="5"/>
    </row>
    <row r="39" spans="1:4" x14ac:dyDescent="0.2">
      <c r="B39" s="5"/>
    </row>
    <row r="40" spans="1:4" x14ac:dyDescent="0.2">
      <c r="B40" s="5"/>
    </row>
    <row r="41" spans="1:4" x14ac:dyDescent="0.2">
      <c r="B41" s="5"/>
    </row>
    <row r="42" spans="1:4" x14ac:dyDescent="0.2">
      <c r="B42" s="5"/>
    </row>
    <row r="43" spans="1:4" x14ac:dyDescent="0.2">
      <c r="B43" s="5"/>
    </row>
    <row r="44" spans="1:4" x14ac:dyDescent="0.2">
      <c r="B44" s="5"/>
    </row>
    <row r="45" spans="1:4" x14ac:dyDescent="0.2">
      <c r="B45" s="5"/>
    </row>
    <row r="46" spans="1:4" x14ac:dyDescent="0.2">
      <c r="B46" s="5"/>
    </row>
    <row r="47" spans="1:4" x14ac:dyDescent="0.2">
      <c r="B47" s="5"/>
    </row>
    <row r="48" spans="1:4" x14ac:dyDescent="0.2">
      <c r="B48" s="5"/>
    </row>
    <row r="49" spans="2:2" x14ac:dyDescent="0.2">
      <c r="B49" s="5"/>
    </row>
    <row r="50" spans="2:2" x14ac:dyDescent="0.2">
      <c r="B50" s="5"/>
    </row>
    <row r="51" spans="2:2" x14ac:dyDescent="0.2">
      <c r="B51" s="5"/>
    </row>
  </sheetData>
  <mergeCells count="1">
    <mergeCell ref="C1:D1"/>
  </mergeCells>
  <phoneticPr fontId="0" type="noConversion"/>
  <pageMargins left="0.75" right="0.75" top="1" bottom="1" header="0.5" footer="0.5"/>
  <pageSetup paperSize="9" orientation="portrait" horizontalDpi="0" verticalDpi="144" copies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H24"/>
  <sheetViews>
    <sheetView zoomScaleNormal="100" workbookViewId="0">
      <selection activeCell="H18" sqref="H18"/>
    </sheetView>
  </sheetViews>
  <sheetFormatPr defaultRowHeight="12.75" x14ac:dyDescent="0.2"/>
  <cols>
    <col min="1" max="1" width="6.7109375" bestFit="1" customWidth="1"/>
    <col min="2" max="2" width="27" customWidth="1"/>
    <col min="3" max="3" width="22" customWidth="1"/>
    <col min="4" max="4" width="13.140625" customWidth="1"/>
    <col min="5" max="5" width="24.85546875" customWidth="1"/>
    <col min="6" max="6" width="15.28515625" customWidth="1"/>
    <col min="7" max="7" width="15.85546875" customWidth="1"/>
  </cols>
  <sheetData>
    <row r="1" spans="1:8" ht="38.25" x14ac:dyDescent="0.2">
      <c r="A1" s="40" t="s">
        <v>0</v>
      </c>
      <c r="B1" s="37" t="s">
        <v>1</v>
      </c>
      <c r="C1" s="40" t="s">
        <v>2</v>
      </c>
      <c r="D1" s="40" t="s">
        <v>152</v>
      </c>
      <c r="E1" s="37" t="s">
        <v>8</v>
      </c>
      <c r="F1" s="40" t="s">
        <v>9</v>
      </c>
      <c r="G1" s="40" t="s">
        <v>153</v>
      </c>
      <c r="H1" s="34"/>
    </row>
    <row r="2" spans="1:8" x14ac:dyDescent="0.2">
      <c r="A2">
        <v>10</v>
      </c>
      <c r="B2" t="s">
        <v>10</v>
      </c>
      <c r="C2" t="s">
        <v>33</v>
      </c>
      <c r="D2">
        <v>453.31</v>
      </c>
      <c r="E2" t="s">
        <v>40</v>
      </c>
      <c r="F2" t="s">
        <v>47</v>
      </c>
      <c r="G2">
        <v>5</v>
      </c>
    </row>
    <row r="3" spans="1:8" x14ac:dyDescent="0.2">
      <c r="A3">
        <v>11</v>
      </c>
      <c r="B3" t="s">
        <v>11</v>
      </c>
      <c r="C3" t="s">
        <v>33</v>
      </c>
      <c r="D3">
        <v>70.057000000000002</v>
      </c>
      <c r="E3" t="s">
        <v>41</v>
      </c>
      <c r="F3" t="s">
        <v>48</v>
      </c>
      <c r="G3">
        <v>0</v>
      </c>
    </row>
    <row r="4" spans="1:8" x14ac:dyDescent="0.2">
      <c r="A4">
        <v>12</v>
      </c>
      <c r="B4" t="s">
        <v>12</v>
      </c>
      <c r="C4" t="s">
        <v>34</v>
      </c>
      <c r="D4">
        <v>13</v>
      </c>
      <c r="E4" t="s">
        <v>134</v>
      </c>
      <c r="F4" t="s">
        <v>47</v>
      </c>
      <c r="G4">
        <v>130</v>
      </c>
    </row>
    <row r="5" spans="1:8" x14ac:dyDescent="0.2">
      <c r="A5">
        <v>13</v>
      </c>
      <c r="B5" t="s">
        <v>13</v>
      </c>
      <c r="C5" t="s">
        <v>34</v>
      </c>
      <c r="D5">
        <v>13</v>
      </c>
      <c r="E5" t="s">
        <v>134</v>
      </c>
      <c r="F5" t="s">
        <v>47</v>
      </c>
      <c r="G5">
        <v>15</v>
      </c>
    </row>
    <row r="6" spans="1:8" x14ac:dyDescent="0.2">
      <c r="A6">
        <v>14</v>
      </c>
      <c r="B6" t="s">
        <v>14</v>
      </c>
      <c r="C6" t="s">
        <v>34</v>
      </c>
      <c r="D6">
        <v>13</v>
      </c>
      <c r="E6" t="s">
        <v>134</v>
      </c>
      <c r="F6" t="s">
        <v>47</v>
      </c>
      <c r="G6">
        <v>15</v>
      </c>
    </row>
    <row r="7" spans="1:8" x14ac:dyDescent="0.2">
      <c r="A7">
        <v>15</v>
      </c>
      <c r="B7" t="s">
        <v>15</v>
      </c>
      <c r="C7" t="s">
        <v>34</v>
      </c>
      <c r="D7">
        <v>13</v>
      </c>
      <c r="E7" t="s">
        <v>134</v>
      </c>
      <c r="F7" t="s">
        <v>47</v>
      </c>
      <c r="G7">
        <v>0</v>
      </c>
    </row>
    <row r="8" spans="1:8" x14ac:dyDescent="0.2">
      <c r="A8">
        <v>16</v>
      </c>
      <c r="B8" t="s">
        <v>16</v>
      </c>
      <c r="C8" t="s">
        <v>34</v>
      </c>
      <c r="D8">
        <v>23.400000000000002</v>
      </c>
      <c r="E8" t="s">
        <v>40</v>
      </c>
      <c r="F8" t="s">
        <v>47</v>
      </c>
      <c r="G8">
        <v>0</v>
      </c>
    </row>
    <row r="9" spans="1:8" x14ac:dyDescent="0.2">
      <c r="A9">
        <v>17</v>
      </c>
      <c r="B9" t="s">
        <v>17</v>
      </c>
      <c r="C9" t="s">
        <v>34</v>
      </c>
      <c r="D9">
        <v>27.3</v>
      </c>
      <c r="E9" t="s">
        <v>40</v>
      </c>
      <c r="F9" t="s">
        <v>47</v>
      </c>
      <c r="G9">
        <v>-53</v>
      </c>
    </row>
    <row r="10" spans="1:8" x14ac:dyDescent="0.2">
      <c r="A10">
        <v>18</v>
      </c>
      <c r="B10" t="s">
        <v>18</v>
      </c>
      <c r="C10" t="s">
        <v>34</v>
      </c>
      <c r="D10">
        <v>35.1</v>
      </c>
      <c r="E10" t="s">
        <v>40</v>
      </c>
      <c r="F10" t="s">
        <v>47</v>
      </c>
      <c r="G10">
        <v>42</v>
      </c>
    </row>
    <row r="11" spans="1:8" x14ac:dyDescent="0.2">
      <c r="A11">
        <v>19</v>
      </c>
      <c r="B11" t="s">
        <v>19</v>
      </c>
      <c r="C11" t="s">
        <v>35</v>
      </c>
      <c r="D11">
        <v>58.5</v>
      </c>
      <c r="E11" t="s">
        <v>42</v>
      </c>
      <c r="F11" t="s">
        <v>49</v>
      </c>
      <c r="G11">
        <v>15</v>
      </c>
    </row>
    <row r="12" spans="1:8" x14ac:dyDescent="0.2">
      <c r="A12">
        <v>20</v>
      </c>
      <c r="B12" t="s">
        <v>20</v>
      </c>
      <c r="C12" t="s">
        <v>35</v>
      </c>
      <c r="D12">
        <v>65</v>
      </c>
      <c r="E12" t="s">
        <v>42</v>
      </c>
      <c r="F12" t="s">
        <v>49</v>
      </c>
      <c r="G12">
        <v>0</v>
      </c>
    </row>
    <row r="13" spans="1:8" x14ac:dyDescent="0.2">
      <c r="A13">
        <v>21</v>
      </c>
      <c r="B13" t="s">
        <v>21</v>
      </c>
      <c r="C13" t="s">
        <v>35</v>
      </c>
      <c r="D13">
        <v>127.4</v>
      </c>
      <c r="E13" t="s">
        <v>43</v>
      </c>
      <c r="F13" t="s">
        <v>47</v>
      </c>
      <c r="G13">
        <v>17</v>
      </c>
    </row>
    <row r="14" spans="1:8" x14ac:dyDescent="0.2">
      <c r="A14">
        <v>22</v>
      </c>
      <c r="B14" t="s">
        <v>22</v>
      </c>
      <c r="C14" t="s">
        <v>35</v>
      </c>
      <c r="D14">
        <v>135.20000000000002</v>
      </c>
      <c r="E14" t="s">
        <v>44</v>
      </c>
      <c r="F14" t="s">
        <v>50</v>
      </c>
      <c r="G14">
        <v>3</v>
      </c>
    </row>
    <row r="15" spans="1:8" ht="20.25" customHeight="1" x14ac:dyDescent="0.2">
      <c r="A15">
        <v>23</v>
      </c>
      <c r="B15" t="s">
        <v>23</v>
      </c>
      <c r="C15" t="s">
        <v>35</v>
      </c>
      <c r="D15">
        <v>84.5</v>
      </c>
      <c r="E15" t="s">
        <v>45</v>
      </c>
      <c r="F15" t="s">
        <v>51</v>
      </c>
      <c r="G15">
        <v>40</v>
      </c>
    </row>
    <row r="16" spans="1:8" x14ac:dyDescent="0.2">
      <c r="A16">
        <v>24</v>
      </c>
      <c r="B16" t="s">
        <v>24</v>
      </c>
      <c r="C16" t="s">
        <v>36</v>
      </c>
      <c r="D16">
        <v>12.35</v>
      </c>
      <c r="E16" t="s">
        <v>43</v>
      </c>
      <c r="F16" t="s">
        <v>47</v>
      </c>
      <c r="G16">
        <v>110</v>
      </c>
    </row>
    <row r="17" spans="1:7" x14ac:dyDescent="0.2">
      <c r="A17">
        <v>25</v>
      </c>
      <c r="B17" t="s">
        <v>25</v>
      </c>
      <c r="C17" t="s">
        <v>36</v>
      </c>
      <c r="D17">
        <v>7.15</v>
      </c>
      <c r="E17" t="s">
        <v>46</v>
      </c>
      <c r="F17" t="s">
        <v>47</v>
      </c>
      <c r="G17">
        <v>3</v>
      </c>
    </row>
    <row r="18" spans="1:7" x14ac:dyDescent="0.2">
      <c r="A18">
        <v>26</v>
      </c>
      <c r="B18" t="s">
        <v>26</v>
      </c>
      <c r="C18" t="s">
        <v>36</v>
      </c>
      <c r="D18">
        <v>7.15</v>
      </c>
      <c r="E18" t="s">
        <v>46</v>
      </c>
      <c r="F18" t="s">
        <v>47</v>
      </c>
      <c r="G18">
        <v>2</v>
      </c>
    </row>
    <row r="19" spans="1:7" x14ac:dyDescent="0.2">
      <c r="A19">
        <v>27</v>
      </c>
      <c r="B19" t="s">
        <v>27</v>
      </c>
      <c r="C19" t="s">
        <v>36</v>
      </c>
      <c r="D19">
        <v>7.15</v>
      </c>
      <c r="E19" t="s">
        <v>46</v>
      </c>
      <c r="F19" t="s">
        <v>47</v>
      </c>
      <c r="G19">
        <v>2</v>
      </c>
    </row>
    <row r="20" spans="1:7" x14ac:dyDescent="0.2">
      <c r="A20">
        <v>28</v>
      </c>
      <c r="B20" t="s">
        <v>28</v>
      </c>
      <c r="C20" t="s">
        <v>34</v>
      </c>
      <c r="D20">
        <v>22.1</v>
      </c>
      <c r="E20" t="s">
        <v>40</v>
      </c>
      <c r="F20" t="s">
        <v>47</v>
      </c>
      <c r="G20">
        <v>250</v>
      </c>
    </row>
    <row r="21" spans="1:7" x14ac:dyDescent="0.2">
      <c r="A21">
        <v>29</v>
      </c>
      <c r="B21" t="s">
        <v>29</v>
      </c>
      <c r="C21" t="s">
        <v>34</v>
      </c>
      <c r="D21">
        <v>16.900000000000002</v>
      </c>
      <c r="E21" t="s">
        <v>40</v>
      </c>
      <c r="F21" t="s">
        <v>47</v>
      </c>
      <c r="G21">
        <v>1</v>
      </c>
    </row>
    <row r="22" spans="1:7" x14ac:dyDescent="0.2">
      <c r="A22">
        <v>35</v>
      </c>
      <c r="B22" t="s">
        <v>31</v>
      </c>
      <c r="C22" t="s">
        <v>34</v>
      </c>
      <c r="D22">
        <v>16.25</v>
      </c>
      <c r="E22" t="s">
        <v>40</v>
      </c>
      <c r="F22" t="s">
        <v>47</v>
      </c>
      <c r="G22">
        <v>65</v>
      </c>
    </row>
    <row r="23" spans="1:7" x14ac:dyDescent="0.2">
      <c r="A23">
        <v>52</v>
      </c>
      <c r="B23" t="s">
        <v>30</v>
      </c>
      <c r="C23" t="s">
        <v>34</v>
      </c>
      <c r="D23">
        <v>14.950000000000001</v>
      </c>
      <c r="E23" t="s">
        <v>40</v>
      </c>
      <c r="F23" t="s">
        <v>47</v>
      </c>
      <c r="G23">
        <v>65</v>
      </c>
    </row>
    <row r="24" spans="1:7" x14ac:dyDescent="0.2">
      <c r="A24">
        <v>90</v>
      </c>
      <c r="B24" t="s">
        <v>32</v>
      </c>
      <c r="C24" t="s">
        <v>34</v>
      </c>
      <c r="D24">
        <v>9.1</v>
      </c>
      <c r="E24" t="s">
        <v>134</v>
      </c>
      <c r="F24" t="s">
        <v>47</v>
      </c>
      <c r="G24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rais">
                <anchor moveWithCells="1" sizeWithCells="1">
                  <from>
                    <xdr:col>7</xdr:col>
                    <xdr:colOff>428625</xdr:colOff>
                    <xdr:row>0</xdr:row>
                    <xdr:rowOff>104775</xdr:rowOff>
                  </from>
                  <to>
                    <xdr:col>11</xdr:col>
                    <xdr:colOff>9525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praisvnutr">
                <anchor moveWithCells="1" sizeWithCells="1">
                  <from>
                    <xdr:col>7</xdr:col>
                    <xdr:colOff>419100</xdr:colOff>
                    <xdr:row>0</xdr:row>
                    <xdr:rowOff>476250</xdr:rowOff>
                  </from>
                  <to>
                    <xdr:col>11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/>
  <dimension ref="A1:I2"/>
  <sheetViews>
    <sheetView topLeftCell="B1" zoomScale="85" zoomScaleNormal="85" workbookViewId="0">
      <selection activeCell="O1" sqref="O1"/>
    </sheetView>
  </sheetViews>
  <sheetFormatPr defaultRowHeight="12.75" x14ac:dyDescent="0.2"/>
  <cols>
    <col min="1" max="1" width="11.5703125" bestFit="1" customWidth="1"/>
    <col min="2" max="2" width="22.5703125" bestFit="1" customWidth="1"/>
    <col min="3" max="3" width="20.5703125" bestFit="1" customWidth="1"/>
    <col min="4" max="4" width="12.42578125" bestFit="1" customWidth="1"/>
    <col min="5" max="5" width="13.140625" bestFit="1" customWidth="1"/>
    <col min="6" max="6" width="8.5703125" bestFit="1" customWidth="1"/>
    <col min="7" max="7" width="37.42578125" customWidth="1"/>
    <col min="8" max="8" width="31.28515625" customWidth="1"/>
    <col min="9" max="9" width="23.140625" bestFit="1" customWidth="1"/>
  </cols>
  <sheetData>
    <row r="1" spans="1:9" ht="12.75" customHeight="1" thickBot="1" x14ac:dyDescent="0.25">
      <c r="A1" s="40"/>
      <c r="B1" s="40"/>
      <c r="C1" s="40"/>
      <c r="D1" s="40" t="s">
        <v>3</v>
      </c>
      <c r="E1" s="40"/>
      <c r="F1" s="40"/>
      <c r="G1" s="40"/>
      <c r="H1" s="40"/>
      <c r="I1" s="40"/>
    </row>
    <row r="2" spans="1:9" ht="25.5" x14ac:dyDescent="0.2">
      <c r="A2" s="40" t="s">
        <v>0</v>
      </c>
      <c r="B2" s="40" t="s">
        <v>1</v>
      </c>
      <c r="C2" s="40" t="s">
        <v>2</v>
      </c>
      <c r="D2" s="40" t="s">
        <v>4</v>
      </c>
      <c r="E2" s="40" t="s">
        <v>5</v>
      </c>
      <c r="F2" s="40" t="s">
        <v>6</v>
      </c>
      <c r="G2" s="40" t="s">
        <v>7</v>
      </c>
      <c r="H2" s="40" t="s">
        <v>8</v>
      </c>
      <c r="I2" s="40" t="s">
        <v>9</v>
      </c>
    </row>
  </sheetData>
  <sortState ref="A3:I25">
    <sortCondition ref="H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ormTabl">
                <anchor moveWithCells="1" sizeWithCells="1">
                  <from>
                    <xdr:col>9</xdr:col>
                    <xdr:colOff>600075</xdr:colOff>
                    <xdr:row>0</xdr:row>
                    <xdr:rowOff>142875</xdr:rowOff>
                  </from>
                  <to>
                    <xdr:col>12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SortProizv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17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promejitogu">
                <anchor moveWithCells="1" sizeWithCells="1">
                  <from>
                    <xdr:col>9</xdr:col>
                    <xdr:colOff>571500</xdr:colOff>
                    <xdr:row>3</xdr:row>
                    <xdr:rowOff>0</xdr:rowOff>
                  </from>
                  <to>
                    <xdr:col>13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6" name="Button 6">
              <controlPr defaultSize="0" print="0" autoFill="0" autoPict="0" macro="[0]!promejudalit">
                <anchor moveWithCells="1" sizeWithCells="1">
                  <from>
                    <xdr:col>14</xdr:col>
                    <xdr:colOff>9525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8"/>
  <dimension ref="B2:H30"/>
  <sheetViews>
    <sheetView topLeftCell="A10" workbookViewId="0">
      <selection activeCell="G18" sqref="G18"/>
    </sheetView>
  </sheetViews>
  <sheetFormatPr defaultRowHeight="12.75" x14ac:dyDescent="0.2"/>
  <cols>
    <col min="3" max="3" width="31.5703125" customWidth="1"/>
    <col min="4" max="4" width="22" customWidth="1"/>
    <col min="5" max="5" width="19.85546875" customWidth="1"/>
    <col min="6" max="6" width="19.42578125" customWidth="1"/>
    <col min="7" max="7" width="20.28515625" customWidth="1"/>
    <col min="8" max="8" width="14.42578125" customWidth="1"/>
  </cols>
  <sheetData>
    <row r="2" spans="2:8" ht="23.25" x14ac:dyDescent="0.2">
      <c r="C2" s="54" t="s">
        <v>154</v>
      </c>
      <c r="D2" s="55"/>
    </row>
    <row r="3" spans="2:8" ht="25.5" x14ac:dyDescent="0.2">
      <c r="C3" s="56" t="s">
        <v>155</v>
      </c>
      <c r="D3" s="53" t="s">
        <v>162</v>
      </c>
    </row>
    <row r="4" spans="2:8" x14ac:dyDescent="0.2">
      <c r="C4" s="60"/>
      <c r="D4" s="61"/>
    </row>
    <row r="5" spans="2:8" x14ac:dyDescent="0.2">
      <c r="C5" s="57" t="s">
        <v>158</v>
      </c>
      <c r="D5" s="61"/>
    </row>
    <row r="6" spans="2:8" x14ac:dyDescent="0.2">
      <c r="C6" s="58" t="s">
        <v>159</v>
      </c>
      <c r="D6" s="61"/>
    </row>
    <row r="7" spans="2:8" x14ac:dyDescent="0.2">
      <c r="C7" s="58" t="s">
        <v>160</v>
      </c>
      <c r="D7" s="61"/>
    </row>
    <row r="8" spans="2:8" x14ac:dyDescent="0.2">
      <c r="C8" s="59" t="s">
        <v>161</v>
      </c>
      <c r="D8" s="62"/>
    </row>
    <row r="10" spans="2:8" ht="15.75" x14ac:dyDescent="0.2">
      <c r="C10" s="51" t="s">
        <v>157</v>
      </c>
      <c r="D10" s="52"/>
      <c r="E10" s="53" t="s">
        <v>156</v>
      </c>
    </row>
    <row r="11" spans="2:8" ht="13.5" thickBot="1" x14ac:dyDescent="0.25"/>
    <row r="12" spans="2:8" ht="33.6" customHeight="1" x14ac:dyDescent="0.2">
      <c r="B12" s="40" t="s">
        <v>0</v>
      </c>
      <c r="C12" s="37" t="s">
        <v>1</v>
      </c>
      <c r="D12" s="40" t="s">
        <v>2</v>
      </c>
      <c r="E12" s="40" t="s">
        <v>152</v>
      </c>
      <c r="F12" s="37" t="s">
        <v>8</v>
      </c>
      <c r="G12" s="40" t="s">
        <v>9</v>
      </c>
      <c r="H12" s="40" t="s">
        <v>153</v>
      </c>
    </row>
    <row r="13" spans="2:8" x14ac:dyDescent="0.2">
      <c r="B13">
        <v>10</v>
      </c>
      <c r="C13" t="s">
        <v>10</v>
      </c>
      <c r="D13" t="s">
        <v>33</v>
      </c>
      <c r="E13">
        <v>453.31</v>
      </c>
      <c r="F13" t="s">
        <v>40</v>
      </c>
      <c r="G13" t="s">
        <v>47</v>
      </c>
      <c r="H13">
        <v>5</v>
      </c>
    </row>
    <row r="14" spans="2:8" x14ac:dyDescent="0.2">
      <c r="B14">
        <v>12</v>
      </c>
      <c r="C14" t="s">
        <v>12</v>
      </c>
      <c r="D14" t="s">
        <v>34</v>
      </c>
      <c r="E14">
        <v>13</v>
      </c>
      <c r="F14" t="s">
        <v>134</v>
      </c>
      <c r="G14" t="s">
        <v>47</v>
      </c>
      <c r="H14">
        <v>130</v>
      </c>
    </row>
    <row r="15" spans="2:8" x14ac:dyDescent="0.2">
      <c r="B15">
        <v>13</v>
      </c>
      <c r="C15" t="s">
        <v>13</v>
      </c>
      <c r="D15" t="s">
        <v>34</v>
      </c>
      <c r="E15">
        <v>13</v>
      </c>
      <c r="F15" t="s">
        <v>134</v>
      </c>
      <c r="G15" t="s">
        <v>47</v>
      </c>
      <c r="H15">
        <v>15</v>
      </c>
    </row>
    <row r="16" spans="2:8" x14ac:dyDescent="0.2">
      <c r="B16">
        <v>14</v>
      </c>
      <c r="C16" t="s">
        <v>14</v>
      </c>
      <c r="D16" t="s">
        <v>34</v>
      </c>
      <c r="E16">
        <v>13</v>
      </c>
      <c r="F16" t="s">
        <v>134</v>
      </c>
      <c r="G16" t="s">
        <v>47</v>
      </c>
      <c r="H16">
        <v>15</v>
      </c>
    </row>
    <row r="17" spans="2:8" x14ac:dyDescent="0.2">
      <c r="B17">
        <v>18</v>
      </c>
      <c r="C17" t="s">
        <v>18</v>
      </c>
      <c r="D17" t="s">
        <v>34</v>
      </c>
      <c r="E17">
        <v>35.1</v>
      </c>
      <c r="F17" t="s">
        <v>40</v>
      </c>
      <c r="G17" t="s">
        <v>47</v>
      </c>
      <c r="H17">
        <v>42</v>
      </c>
    </row>
    <row r="18" spans="2:8" x14ac:dyDescent="0.2">
      <c r="B18">
        <v>19</v>
      </c>
      <c r="C18" t="s">
        <v>19</v>
      </c>
      <c r="D18" t="s">
        <v>35</v>
      </c>
      <c r="E18">
        <v>58.5</v>
      </c>
      <c r="F18" t="s">
        <v>42</v>
      </c>
      <c r="G18" t="s">
        <v>49</v>
      </c>
      <c r="H18">
        <v>15</v>
      </c>
    </row>
    <row r="19" spans="2:8" x14ac:dyDescent="0.2">
      <c r="B19">
        <v>21</v>
      </c>
      <c r="C19" t="s">
        <v>21</v>
      </c>
      <c r="D19" t="s">
        <v>35</v>
      </c>
      <c r="E19">
        <v>127.4</v>
      </c>
      <c r="F19" t="s">
        <v>43</v>
      </c>
      <c r="G19" t="s">
        <v>47</v>
      </c>
      <c r="H19">
        <v>17</v>
      </c>
    </row>
    <row r="20" spans="2:8" x14ac:dyDescent="0.2">
      <c r="B20">
        <v>22</v>
      </c>
      <c r="C20" t="s">
        <v>22</v>
      </c>
      <c r="D20" t="s">
        <v>35</v>
      </c>
      <c r="E20">
        <v>135.20000000000002</v>
      </c>
      <c r="F20" t="s">
        <v>44</v>
      </c>
      <c r="G20" t="s">
        <v>50</v>
      </c>
      <c r="H20">
        <v>3</v>
      </c>
    </row>
    <row r="21" spans="2:8" x14ac:dyDescent="0.2">
      <c r="B21">
        <v>23</v>
      </c>
      <c r="C21" t="s">
        <v>23</v>
      </c>
      <c r="D21" t="s">
        <v>35</v>
      </c>
      <c r="E21">
        <v>84.5</v>
      </c>
      <c r="F21" t="s">
        <v>45</v>
      </c>
      <c r="G21" t="s">
        <v>51</v>
      </c>
      <c r="H21">
        <v>40</v>
      </c>
    </row>
    <row r="22" spans="2:8" x14ac:dyDescent="0.2">
      <c r="B22">
        <v>24</v>
      </c>
      <c r="C22" t="s">
        <v>24</v>
      </c>
      <c r="D22" t="s">
        <v>36</v>
      </c>
      <c r="E22">
        <v>12.35</v>
      </c>
      <c r="F22" t="s">
        <v>43</v>
      </c>
      <c r="G22" t="s">
        <v>47</v>
      </c>
      <c r="H22">
        <v>110</v>
      </c>
    </row>
    <row r="23" spans="2:8" x14ac:dyDescent="0.2">
      <c r="B23">
        <v>25</v>
      </c>
      <c r="C23" t="s">
        <v>25</v>
      </c>
      <c r="D23" t="s">
        <v>36</v>
      </c>
      <c r="E23">
        <v>7.15</v>
      </c>
      <c r="F23" t="s">
        <v>46</v>
      </c>
      <c r="G23" t="s">
        <v>47</v>
      </c>
      <c r="H23">
        <v>3</v>
      </c>
    </row>
    <row r="24" spans="2:8" x14ac:dyDescent="0.2">
      <c r="B24">
        <v>26</v>
      </c>
      <c r="C24" t="s">
        <v>26</v>
      </c>
      <c r="D24" t="s">
        <v>36</v>
      </c>
      <c r="E24">
        <v>7.15</v>
      </c>
      <c r="F24" t="s">
        <v>46</v>
      </c>
      <c r="G24" t="s">
        <v>47</v>
      </c>
      <c r="H24">
        <v>2</v>
      </c>
    </row>
    <row r="25" spans="2:8" x14ac:dyDescent="0.2">
      <c r="B25">
        <v>27</v>
      </c>
      <c r="C25" t="s">
        <v>27</v>
      </c>
      <c r="D25" t="s">
        <v>36</v>
      </c>
      <c r="E25">
        <v>7.15</v>
      </c>
      <c r="F25" t="s">
        <v>46</v>
      </c>
      <c r="G25" t="s">
        <v>47</v>
      </c>
      <c r="H25">
        <v>2</v>
      </c>
    </row>
    <row r="26" spans="2:8" x14ac:dyDescent="0.2">
      <c r="B26">
        <v>28</v>
      </c>
      <c r="C26" t="s">
        <v>28</v>
      </c>
      <c r="D26" t="s">
        <v>34</v>
      </c>
      <c r="E26">
        <v>22.1</v>
      </c>
      <c r="F26" t="s">
        <v>40</v>
      </c>
      <c r="G26" t="s">
        <v>47</v>
      </c>
      <c r="H26">
        <v>250</v>
      </c>
    </row>
    <row r="27" spans="2:8" x14ac:dyDescent="0.2">
      <c r="B27">
        <v>29</v>
      </c>
      <c r="C27" t="s">
        <v>29</v>
      </c>
      <c r="D27" t="s">
        <v>34</v>
      </c>
      <c r="E27">
        <v>16.900000000000002</v>
      </c>
      <c r="F27" t="s">
        <v>40</v>
      </c>
      <c r="G27" t="s">
        <v>47</v>
      </c>
      <c r="H27">
        <v>1</v>
      </c>
    </row>
    <row r="28" spans="2:8" x14ac:dyDescent="0.2">
      <c r="B28">
        <v>35</v>
      </c>
      <c r="C28" t="s">
        <v>31</v>
      </c>
      <c r="D28" t="s">
        <v>34</v>
      </c>
      <c r="E28">
        <v>16.25</v>
      </c>
      <c r="F28" t="s">
        <v>40</v>
      </c>
      <c r="G28" t="s">
        <v>47</v>
      </c>
      <c r="H28">
        <v>65</v>
      </c>
    </row>
    <row r="29" spans="2:8" x14ac:dyDescent="0.2">
      <c r="B29">
        <v>52</v>
      </c>
      <c r="C29" t="s">
        <v>30</v>
      </c>
      <c r="D29" t="s">
        <v>34</v>
      </c>
      <c r="E29">
        <v>14.950000000000001</v>
      </c>
      <c r="F29" t="s">
        <v>40</v>
      </c>
      <c r="G29" t="s">
        <v>47</v>
      </c>
      <c r="H29">
        <v>65</v>
      </c>
    </row>
    <row r="30" spans="2:8" x14ac:dyDescent="0.2">
      <c r="B30">
        <v>90</v>
      </c>
      <c r="C30" t="s">
        <v>32</v>
      </c>
      <c r="D30" t="s">
        <v>34</v>
      </c>
      <c r="E30">
        <v>9.1</v>
      </c>
      <c r="F30" t="s">
        <v>134</v>
      </c>
      <c r="G30" t="s">
        <v>47</v>
      </c>
      <c r="H30">
        <v>40</v>
      </c>
    </row>
  </sheetData>
  <mergeCells count="2">
    <mergeCell ref="C10:D10"/>
    <mergeCell ref="C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praiskl">
                <anchor moveWithCells="1" siz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12</xdr:col>
                    <xdr:colOff>19050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kl">
                <anchor moveWithCells="1" siz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12</xdr:col>
                    <xdr:colOff>19050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10</vt:i4>
      </vt:variant>
    </vt:vector>
  </HeadingPairs>
  <TitlesOfParts>
    <vt:vector size="18" baseType="lpstr">
      <vt:lpstr>Заказ</vt:lpstr>
      <vt:lpstr>Товары</vt:lpstr>
      <vt:lpstr>Склад</vt:lpstr>
      <vt:lpstr>Контрагент</vt:lpstr>
      <vt:lpstr>Курс_уе</vt:lpstr>
      <vt:lpstr>Прайс_внутренний</vt:lpstr>
      <vt:lpstr>Промежуточные_итоги</vt:lpstr>
      <vt:lpstr>Прайс_клиентский</vt:lpstr>
      <vt:lpstr>ed_izm</vt:lpstr>
      <vt:lpstr>naim_tov</vt:lpstr>
      <vt:lpstr>rr</vt:lpstr>
      <vt:lpstr>zz</vt:lpstr>
      <vt:lpstr>код</vt:lpstr>
      <vt:lpstr>кол_во</vt:lpstr>
      <vt:lpstr>курс</vt:lpstr>
      <vt:lpstr>Курс_уе</vt:lpstr>
      <vt:lpstr>операция</vt:lpstr>
      <vt:lpstr>товар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Natalya</dc:creator>
  <cp:lastModifiedBy>Пользователь Windows</cp:lastModifiedBy>
  <dcterms:created xsi:type="dcterms:W3CDTF">2003-05-13T13:01:27Z</dcterms:created>
  <dcterms:modified xsi:type="dcterms:W3CDTF">2019-04-03T10:33:59Z</dcterms:modified>
</cp:coreProperties>
</file>